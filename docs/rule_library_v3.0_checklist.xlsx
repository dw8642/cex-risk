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风控规则审核清单" sheetId="1" state="visible" r:id="rId3"/>
    <sheet name="图例说明" sheetId="2" state="visible" r:id="rId4"/>
  </sheets>
  <definedNames>
    <definedName function="false" hidden="true" localSheetId="0" name="_xlnm._FilterDatabase" vbProcedure="false">风控规则审核清单!$A$3:$U$3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<sst xmlns="http://schemas.openxmlformats.org/spreadsheetml/2006/main" count="1043" uniqueCount="475">
  <si>
    <r>
      <rPr>
        <b val="true"/>
        <sz val="16"/>
        <color rgb="FF1F4E79"/>
        <rFont val="Arial"/>
        <family val="0"/>
        <charset val="1"/>
      </rPr>
      <t xml:space="preserve">CEX </t>
    </r>
    <r>
      <rPr>
        <b val="true"/>
        <sz val="16"/>
        <color rgb="FF1F4E79"/>
        <rFont val="DejaVu Sans"/>
        <family val="2"/>
      </rPr>
      <t xml:space="preserve">做市风控规则库 </t>
    </r>
    <r>
      <rPr>
        <b val="true"/>
        <sz val="16"/>
        <color rgb="FF1F4E79"/>
        <rFont val="Arial"/>
        <family val="0"/>
        <charset val="1"/>
      </rPr>
      <t xml:space="preserve">V3.0 — </t>
    </r>
    <r>
      <rPr>
        <b val="true"/>
        <sz val="16"/>
        <color rgb="FF1F4E79"/>
        <rFont val="DejaVu Sans"/>
        <family val="2"/>
      </rPr>
      <t xml:space="preserve">审核清单</t>
    </r>
  </si>
  <si>
    <r>
      <rPr>
        <i val="true"/>
        <sz val="10"/>
        <color rgb="FF666666"/>
        <rFont val="DejaVu Sans"/>
        <family val="2"/>
      </rPr>
      <t xml:space="preserve">审核人请填写：审核决定（保留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删除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调整）、公式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阈值是否需要调整、调整后阈值、备注。  </t>
    </r>
    <r>
      <rPr>
        <i val="true"/>
        <sz val="10"/>
        <color rgb="FF666666"/>
        <rFont val="Arial"/>
        <family val="0"/>
        <charset val="1"/>
      </rPr>
      <t xml:space="preserve">|  77 </t>
    </r>
    <r>
      <rPr>
        <i val="true"/>
        <sz val="10"/>
        <color rgb="FF666666"/>
        <rFont val="DejaVu Sans"/>
        <family val="2"/>
      </rPr>
      <t xml:space="preserve">条规则 </t>
    </r>
    <r>
      <rPr>
        <i val="true"/>
        <sz val="10"/>
        <color rgb="FF666666"/>
        <rFont val="Arial"/>
        <family val="0"/>
        <charset val="1"/>
      </rPr>
      <t xml:space="preserve">= 67 MVP + 10 POST-MVP</t>
    </r>
  </si>
  <si>
    <t xml:space="preserve">序号</t>
  </si>
  <si>
    <t xml:space="preserve">规则编号</t>
  </si>
  <si>
    <t xml:space="preserve">规则名称</t>
  </si>
  <si>
    <t xml:space="preserve">类别</t>
  </si>
  <si>
    <t xml:space="preserve">★收编</t>
  </si>
  <si>
    <t xml:space="preserve">优先级</t>
  </si>
  <si>
    <t xml:space="preserve">来源规则</t>
  </si>
  <si>
    <t xml:space="preserve">告警级别</t>
  </si>
  <si>
    <r>
      <rPr>
        <b val="true"/>
        <sz val="11"/>
        <color rgb="FFFFFFFF"/>
        <rFont val="DejaVu Sans"/>
        <family val="2"/>
      </rPr>
      <t xml:space="preserve">规则条件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公式</t>
    </r>
  </si>
  <si>
    <t xml:space="preserve">默认阈值</t>
  </si>
  <si>
    <t xml:space="preserve">系统动作</t>
  </si>
  <si>
    <t xml:space="preserve">恢复条件</t>
  </si>
  <si>
    <t xml:space="preserve">实现归属</t>
  </si>
  <si>
    <t xml:space="preserve">实现状态</t>
  </si>
  <si>
    <t xml:space="preserve">审核决定</t>
  </si>
  <si>
    <t xml:space="preserve">公式是否
需要调整</t>
  </si>
  <si>
    <t xml:space="preserve">阈值是否
需要调整</t>
  </si>
  <si>
    <t xml:space="preserve">调整后阈值</t>
  </si>
  <si>
    <t xml:space="preserve">审核备注
（老板）</t>
  </si>
  <si>
    <t xml:space="preserve">审核备注
（交易员）</t>
  </si>
  <si>
    <t xml:space="preserve">确认状态</t>
  </si>
  <si>
    <r>
      <rPr>
        <b val="true"/>
        <sz val="12"/>
        <color rgb="FF1F4E79"/>
        <rFont val="Arial"/>
        <family val="0"/>
        <charset val="1"/>
      </rPr>
      <t xml:space="preserve">▸ L-</t>
    </r>
    <r>
      <rPr>
        <b val="true"/>
        <sz val="12"/>
        <color rgb="FF1F4E79"/>
        <rFont val="DejaVu Sans"/>
        <family val="2"/>
      </rPr>
      <t xml:space="preserve">清算</t>
    </r>
  </si>
  <si>
    <t xml:space="preserve">L-001</t>
  </si>
  <si>
    <r>
      <rPr>
        <sz val="10"/>
        <rFont val="DejaVu Sans"/>
        <family val="2"/>
      </rPr>
      <t xml:space="preserve">维持保证金率（</t>
    </r>
    <r>
      <rPr>
        <sz val="10"/>
        <rFont val="Arial"/>
        <family val="0"/>
        <charset val="1"/>
      </rPr>
      <t xml:space="preserve">MMR</t>
    </r>
    <r>
      <rPr>
        <sz val="10"/>
        <rFont val="DejaVu Sans"/>
        <family val="2"/>
      </rPr>
      <t xml:space="preserve">）过低</t>
    </r>
  </si>
  <si>
    <r>
      <rPr>
        <sz val="10"/>
        <rFont val="Arial"/>
        <family val="0"/>
        <charset val="1"/>
      </rPr>
      <t xml:space="preserve">L-</t>
    </r>
    <r>
      <rPr>
        <sz val="10"/>
        <rFont val="DejaVu Sans"/>
        <family val="2"/>
      </rPr>
      <t xml:space="preserve">清算</t>
    </r>
  </si>
  <si>
    <t xml:space="preserve">★</t>
  </si>
  <si>
    <t xml:space="preserve">P0</t>
  </si>
  <si>
    <t xml:space="preserve">RISK-ACC-003</t>
  </si>
  <si>
    <r>
      <rPr>
        <sz val="10"/>
        <rFont val="Arial"/>
        <family val="0"/>
        <charset val="1"/>
      </rPr>
      <t xml:space="preserve">L2/L3 </t>
    </r>
    <r>
      <rPr>
        <sz val="10"/>
        <rFont val="DejaVu Sans"/>
        <family val="2"/>
      </rPr>
      <t xml:space="preserve">分级</t>
    </r>
  </si>
  <si>
    <t xml:space="preserve">maint_margin_rate &gt; threshold</t>
  </si>
  <si>
    <t xml:space="preserve">L2: 5%, L3: 8%</t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</si>
  <si>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</t>
    </r>
    <r>
      <rPr>
        <sz val="10"/>
        <rFont val="Arial"/>
        <family val="0"/>
        <charset val="1"/>
      </rPr>
      <t xml:space="preserve">; L3 </t>
    </r>
    <r>
      <rPr>
        <sz val="10"/>
        <rFont val="DejaVu Sans"/>
        <family val="2"/>
      </rPr>
      <t xml:space="preserve">降级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暂停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电话告警</t>
    </r>
  </si>
  <si>
    <r>
      <rPr>
        <sz val="10"/>
        <rFont val="Arial"/>
        <family val="0"/>
        <charset val="1"/>
      </rPr>
      <t xml:space="preserve">MMR </t>
    </r>
    <r>
      <rPr>
        <sz val="10"/>
        <rFont val="DejaVu Sans"/>
        <family val="2"/>
      </rPr>
      <t xml:space="preserve">恢复正常范围</t>
    </r>
  </si>
  <si>
    <t xml:space="preserve">risk_platform</t>
  </si>
  <si>
    <t xml:space="preserve">🔲 种子配置</t>
  </si>
  <si>
    <t xml:space="preserve">L-002</t>
  </si>
  <si>
    <r>
      <rPr>
        <sz val="10"/>
        <rFont val="Arial"/>
        <family val="0"/>
        <charset val="1"/>
      </rPr>
      <t xml:space="preserve">ADL </t>
    </r>
    <r>
      <rPr>
        <sz val="10"/>
        <rFont val="DejaVu Sans"/>
        <family val="2"/>
      </rPr>
      <t xml:space="preserve">风险升高</t>
    </r>
  </si>
  <si>
    <t xml:space="preserve">P1</t>
  </si>
  <si>
    <t xml:space="preserve">RISK-ACC-005</t>
  </si>
  <si>
    <r>
      <rPr>
        <sz val="10"/>
        <rFont val="Arial"/>
        <family val="0"/>
        <charset val="1"/>
      </rPr>
      <t xml:space="preserve">L1/L2 </t>
    </r>
    <r>
      <rPr>
        <sz val="10"/>
        <rFont val="DejaVu Sans"/>
        <family val="2"/>
      </rPr>
      <t xml:space="preserve">分级</t>
    </r>
  </si>
  <si>
    <t xml:space="preserve">adl &gt; threshold</t>
  </si>
  <si>
    <t xml:space="preserve">L1: adl&gt;3, L2: adl&gt;4</t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</si>
  <si>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告警</t>
    </r>
    <r>
      <rPr>
        <sz val="10"/>
        <rFont val="Arial"/>
        <family val="0"/>
        <charset val="1"/>
      </rPr>
      <t xml:space="preserve">; L2 </t>
    </r>
    <r>
      <rPr>
        <sz val="10"/>
        <rFont val="DejaVu Sans"/>
        <family val="2"/>
      </rPr>
      <t xml:space="preserve">降级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暂停</t>
    </r>
  </si>
  <si>
    <r>
      <rPr>
        <sz val="10"/>
        <rFont val="Arial"/>
        <family val="0"/>
        <charset val="1"/>
      </rPr>
      <t xml:space="preserve">ADL </t>
    </r>
    <r>
      <rPr>
        <sz val="10"/>
        <rFont val="DejaVu Sans"/>
        <family val="2"/>
      </rPr>
      <t xml:space="preserve">等级回落</t>
    </r>
  </si>
  <si>
    <t xml:space="preserve">🔲 待开发</t>
  </si>
  <si>
    <t xml:space="preserve">L-003</t>
  </si>
  <si>
    <t xml:space="preserve">爆仓距离过近</t>
  </si>
  <si>
    <t xml:space="preserve">RISK-ACC-007</t>
  </si>
  <si>
    <t xml:space="preserve">abs(liq_price - mark_price)/mark_price &lt; threshold</t>
  </si>
  <si>
    <t xml:space="preserve">L2: &lt;5%, L3: &lt;2%</t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</si>
  <si>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</t>
    </r>
    <r>
      <rPr>
        <sz val="10"/>
        <rFont val="Arial"/>
        <family val="0"/>
        <charset val="1"/>
      </rPr>
      <t xml:space="preserve">; L3 </t>
    </r>
    <r>
      <rPr>
        <sz val="10"/>
        <rFont val="DejaVu Sans"/>
        <family val="2"/>
      </rPr>
      <t xml:space="preserve">暂停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电话告警</t>
    </r>
  </si>
  <si>
    <t xml:space="preserve">价格距离恢复安全范围</t>
  </si>
  <si>
    <t xml:space="preserve">L-004</t>
  </si>
  <si>
    <r>
      <rPr>
        <sz val="10"/>
        <rFont val="DejaVu Sans"/>
        <family val="2"/>
      </rPr>
      <t xml:space="preserve">单边 </t>
    </r>
    <r>
      <rPr>
        <sz val="10"/>
        <rFont val="Arial"/>
        <family val="0"/>
        <charset val="1"/>
      </rPr>
      <t xml:space="preserve">OI </t>
    </r>
    <r>
      <rPr>
        <sz val="10"/>
        <rFont val="DejaVu Sans"/>
        <family val="2"/>
      </rPr>
      <t xml:space="preserve">占比过高</t>
    </r>
  </si>
  <si>
    <t xml:space="preserve">P2</t>
  </si>
  <si>
    <t xml:space="preserve">RISK-ACC-006</t>
  </si>
  <si>
    <t xml:space="preserve">L1</t>
  </si>
  <si>
    <t xml:space="preserve">total_position / oi &gt; threshold</t>
  </si>
  <si>
    <t xml:space="preserve">待确认</t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</si>
  <si>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告警</t>
    </r>
  </si>
  <si>
    <r>
      <rPr>
        <sz val="10"/>
        <rFont val="Arial"/>
        <family val="0"/>
        <charset val="1"/>
      </rPr>
      <t xml:space="preserve">OI </t>
    </r>
    <r>
      <rPr>
        <sz val="10"/>
        <rFont val="DejaVu Sans"/>
        <family val="2"/>
      </rPr>
      <t xml:space="preserve">占比回落</t>
    </r>
  </si>
  <si>
    <t xml:space="preserve">L-005</t>
  </si>
  <si>
    <r>
      <rPr>
        <sz val="10"/>
        <rFont val="DejaVu Sans"/>
        <family val="2"/>
      </rPr>
      <t xml:space="preserve">联合保证金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抵押物折价双杀</t>
    </r>
  </si>
  <si>
    <t xml:space="preserve">—</t>
  </si>
  <si>
    <t xml:space="preserve">L2</t>
  </si>
  <si>
    <t xml:space="preserve">联合保证金折扣恶化检测</t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</si>
  <si>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</t>
    </r>
  </si>
  <si>
    <t xml:space="preserve">折价恢复</t>
  </si>
  <si>
    <r>
      <rPr>
        <b val="true"/>
        <sz val="12"/>
        <color rgb="FF1F4E79"/>
        <rFont val="Arial"/>
        <family val="0"/>
        <charset val="1"/>
      </rPr>
      <t xml:space="preserve">▸ E-</t>
    </r>
    <r>
      <rPr>
        <b val="true"/>
        <sz val="12"/>
        <color rgb="FF1F4E79"/>
        <rFont val="DejaVu Sans"/>
        <family val="2"/>
      </rPr>
      <t xml:space="preserve">敞口</t>
    </r>
  </si>
  <si>
    <t xml:space="preserve">E-001</t>
  </si>
  <si>
    <r>
      <rPr>
        <sz val="10"/>
        <rFont val="DejaVu Sans"/>
        <family val="2"/>
      </rPr>
      <t xml:space="preserve">净 </t>
    </r>
    <r>
      <rPr>
        <sz val="10"/>
        <rFont val="Arial"/>
        <family val="0"/>
        <charset val="1"/>
      </rPr>
      <t xml:space="preserve">Delta </t>
    </r>
    <r>
      <rPr>
        <sz val="10"/>
        <rFont val="DejaVu Sans"/>
        <family val="2"/>
      </rPr>
      <t xml:space="preserve">过高</t>
    </r>
  </si>
  <si>
    <r>
      <rPr>
        <sz val="10"/>
        <rFont val="Arial"/>
        <family val="0"/>
        <charset val="1"/>
      </rPr>
      <t xml:space="preserve">E-</t>
    </r>
    <r>
      <rPr>
        <sz val="10"/>
        <rFont val="DejaVu Sans"/>
        <family val="2"/>
      </rPr>
      <t xml:space="preserve">敞口</t>
    </r>
  </si>
  <si>
    <t xml:space="preserve">RISK-POS-004</t>
  </si>
  <si>
    <t xml:space="preserve">net_delta_usd &gt; threshold</t>
  </si>
  <si>
    <r>
      <rPr>
        <sz val="10"/>
        <rFont val="Arial"/>
        <family val="0"/>
        <charset val="1"/>
      </rPr>
      <t xml:space="preserve">Delta </t>
    </r>
    <r>
      <rPr>
        <sz val="10"/>
        <rFont val="DejaVu Sans"/>
        <family val="2"/>
      </rPr>
      <t xml:space="preserve">回落</t>
    </r>
  </si>
  <si>
    <t xml:space="preserve">E-002</t>
  </si>
  <si>
    <t xml:space="preserve">单市场仓位集中风险</t>
  </si>
  <si>
    <t xml:space="preserve">RISK-POS-001</t>
  </si>
  <si>
    <t xml:space="preserve">position_usd = abs(position_qty) × mark_price &gt; $PerMarketExposure</t>
  </si>
  <si>
    <r>
      <rPr>
        <sz val="10"/>
        <rFont val="DejaVu Sans"/>
        <family val="2"/>
      </rPr>
      <t xml:space="preserve">待确认（如 </t>
    </r>
    <r>
      <rPr>
        <sz val="10"/>
        <rFont val="Arial"/>
        <family val="0"/>
        <charset val="1"/>
      </rPr>
      <t xml:space="preserve">$500K</t>
    </r>
    <r>
      <rPr>
        <sz val="10"/>
        <rFont val="DejaVu Sans"/>
        <family val="2"/>
      </rPr>
      <t xml:space="preserve">）</t>
    </r>
  </si>
  <si>
    <t xml:space="preserve">降一级系统模式</t>
  </si>
  <si>
    <t xml:space="preserve">仓位减少至阈值以下</t>
  </si>
  <si>
    <t xml:space="preserve">E-003</t>
  </si>
  <si>
    <t xml:space="preserve">对冲缺口扩大</t>
  </si>
  <si>
    <t xml:space="preserve">RISK-ARB-001</t>
  </si>
  <si>
    <t xml:space="preserve">hedge_gap_usd &gt; threshold</t>
  </si>
  <si>
    <t xml:space="preserve">对冲缺口缩小</t>
  </si>
  <si>
    <t xml:space="preserve">E-004</t>
  </si>
  <si>
    <t xml:space="preserve">全账户总绝对敞口上限</t>
  </si>
  <si>
    <t xml:space="preserve">RISK-POS-002</t>
  </si>
  <si>
    <t xml:space="preserve">total_exposure_usd = Σabs(position_usd) &gt; $TotalExposureLimit</t>
  </si>
  <si>
    <r>
      <rPr>
        <sz val="10"/>
        <rFont val="DejaVu Sans"/>
        <family val="2"/>
      </rPr>
      <t xml:space="preserve">待确认（如 </t>
    </r>
    <r>
      <rPr>
        <sz val="10"/>
        <rFont val="Arial"/>
        <family val="0"/>
        <charset val="1"/>
      </rPr>
      <t xml:space="preserve">$50M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</si>
  <si>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限制新开仓</t>
    </r>
  </si>
  <si>
    <t xml:space="preserve">总敞口降低</t>
  </si>
  <si>
    <t xml:space="preserve">E-005</t>
  </si>
  <si>
    <t xml:space="preserve">账户组聚合敞口超限</t>
  </si>
  <si>
    <t xml:space="preserve">account_group_exposure &gt; threshold</t>
  </si>
  <si>
    <t xml:space="preserve">聚合敞口回落</t>
  </si>
  <si>
    <t xml:space="preserve">E-006</t>
  </si>
  <si>
    <t xml:space="preserve">仓位变动速率异常</t>
  </si>
  <si>
    <t xml:space="preserve">RISK-POS-003</t>
  </si>
  <si>
    <t xml:space="preserve">position_change_usd_1h &gt; $MaxPositionChangeHourly</t>
  </si>
  <si>
    <r>
      <rPr>
        <sz val="10"/>
        <rFont val="DejaVu Sans"/>
        <family val="2"/>
      </rPr>
      <t xml:space="preserve">待确认（如 </t>
    </r>
    <r>
      <rPr>
        <sz val="10"/>
        <rFont val="Arial"/>
        <family val="0"/>
        <charset val="1"/>
      </rPr>
      <t xml:space="preserve">$300K/h</t>
    </r>
    <r>
      <rPr>
        <sz val="10"/>
        <rFont val="DejaVu Sans"/>
        <family val="2"/>
      </rPr>
      <t xml:space="preserve">）</t>
    </r>
  </si>
  <si>
    <t xml:space="preserve">变动速率回落</t>
  </si>
  <si>
    <t xml:space="preserve">E-007</t>
  </si>
  <si>
    <t xml:space="preserve">账户可用资金过低</t>
  </si>
  <si>
    <t xml:space="preserve">RISK-ACC-004</t>
  </si>
  <si>
    <t xml:space="preserve">current_available &lt; $min_available</t>
  </si>
  <si>
    <t xml:space="preserve">可用资金恢复</t>
  </si>
  <si>
    <t xml:space="preserve">E-008</t>
  </si>
  <si>
    <t xml:space="preserve">风险预算使用率过高</t>
  </si>
  <si>
    <t xml:space="preserve">risk_budget_usage &gt; threshold</t>
  </si>
  <si>
    <t xml:space="preserve">使用率回落</t>
  </si>
  <si>
    <t xml:space="preserve">E-009</t>
  </si>
  <si>
    <t xml:space="preserve">风险预算超限</t>
  </si>
  <si>
    <t xml:space="preserve">risk_budget_exceeded</t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</si>
  <si>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限制交易</t>
    </r>
  </si>
  <si>
    <t xml:space="preserve">预算恢复</t>
  </si>
  <si>
    <t xml:space="preserve">E-010</t>
  </si>
  <si>
    <t xml:space="preserve">Funding Rate Bleed</t>
  </si>
  <si>
    <r>
      <rPr>
        <sz val="10"/>
        <rFont val="DejaVu Sans"/>
        <family val="2"/>
      </rPr>
      <t xml:space="preserve">累计 </t>
    </r>
    <r>
      <rPr>
        <sz val="10"/>
        <rFont val="Arial"/>
        <family val="0"/>
        <charset val="1"/>
      </rPr>
      <t xml:space="preserve">funding </t>
    </r>
    <r>
      <rPr>
        <sz val="10"/>
        <rFont val="DejaVu Sans"/>
        <family val="2"/>
      </rPr>
      <t xml:space="preserve">损失超限</t>
    </r>
  </si>
  <si>
    <r>
      <rPr>
        <sz val="10"/>
        <rFont val="Arial"/>
        <family val="0"/>
        <charset val="1"/>
      </rPr>
      <t xml:space="preserve">funding </t>
    </r>
    <r>
      <rPr>
        <sz val="10"/>
        <rFont val="DejaVu Sans"/>
        <family val="2"/>
      </rPr>
      <t xml:space="preserve">损失回落</t>
    </r>
  </si>
  <si>
    <t xml:space="preserve">E-011</t>
  </si>
  <si>
    <t xml:space="preserve">资金周期对账差异</t>
  </si>
  <si>
    <r>
      <rPr>
        <sz val="10"/>
        <rFont val="DejaVu Sans"/>
        <family val="2"/>
      </rPr>
      <t xml:space="preserve">周期对账差异 </t>
    </r>
    <r>
      <rPr>
        <sz val="10"/>
        <rFont val="Arial"/>
        <family val="0"/>
        <charset val="1"/>
      </rPr>
      <t xml:space="preserve">&gt; threshold</t>
    </r>
  </si>
  <si>
    <t xml:space="preserve">差异消除</t>
  </si>
  <si>
    <t xml:space="preserve">E-012</t>
  </si>
  <si>
    <t xml:space="preserve">风险预算消耗速率异常</t>
  </si>
  <si>
    <t xml:space="preserve">budget_consumption_rate &gt; threshold</t>
  </si>
  <si>
    <t xml:space="preserve">消耗速率回落</t>
  </si>
  <si>
    <r>
      <rPr>
        <b val="true"/>
        <sz val="12"/>
        <color rgb="FF1F4E79"/>
        <rFont val="Arial"/>
        <family val="0"/>
        <charset val="1"/>
      </rPr>
      <t xml:space="preserve">▸ S-</t>
    </r>
    <r>
      <rPr>
        <b val="true"/>
        <sz val="12"/>
        <color rgb="FF1F4E79"/>
        <rFont val="DejaVu Sans"/>
        <family val="2"/>
      </rPr>
      <t xml:space="preserve">系统</t>
    </r>
  </si>
  <si>
    <t xml:space="preserve">S-001</t>
  </si>
  <si>
    <r>
      <rPr>
        <sz val="10"/>
        <rFont val="DejaVu Sans"/>
        <family val="2"/>
      </rPr>
      <t xml:space="preserve">公共数据订阅断联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延迟</t>
    </r>
  </si>
  <si>
    <r>
      <rPr>
        <sz val="10"/>
        <rFont val="Arial"/>
        <family val="0"/>
        <charset val="1"/>
      </rPr>
      <t xml:space="preserve">S-</t>
    </r>
    <r>
      <rPr>
        <sz val="10"/>
        <rFont val="DejaVu Sans"/>
        <family val="2"/>
      </rPr>
      <t xml:space="preserve">系统</t>
    </r>
  </si>
  <si>
    <t xml:space="preserve">RISK-SYS-001</t>
  </si>
  <si>
    <t xml:space="preserve">ws_heartbeat_gap &gt; threshold / ws_latency_ms &gt; threshold / reconnect_count &gt; max_retries</t>
  </si>
  <si>
    <r>
      <rPr>
        <sz val="10"/>
        <rFont val="DejaVu Sans"/>
        <family val="2"/>
      </rPr>
      <t xml:space="preserve">断联</t>
    </r>
    <r>
      <rPr>
        <sz val="10"/>
        <rFont val="Arial"/>
        <family val="0"/>
        <charset val="1"/>
      </rPr>
      <t xml:space="preserve">&gt;10s→L2, </t>
    </r>
    <r>
      <rPr>
        <sz val="10"/>
        <rFont val="DejaVu Sans"/>
        <family val="2"/>
      </rPr>
      <t xml:space="preserve">多类型断联</t>
    </r>
    <r>
      <rPr>
        <sz val="10"/>
        <rFont val="Arial"/>
        <family val="0"/>
        <charset val="1"/>
      </rPr>
      <t xml:space="preserve">&gt;30s→L3; </t>
    </r>
    <r>
      <rPr>
        <sz val="10"/>
        <rFont val="DejaVu Sans"/>
        <family val="2"/>
      </rPr>
      <t xml:space="preserve">延迟</t>
    </r>
    <r>
      <rPr>
        <sz val="10"/>
        <rFont val="Arial"/>
        <family val="0"/>
        <charset val="1"/>
      </rPr>
      <t xml:space="preserve">&gt;5s→L2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</si>
  <si>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标记不可信</t>
    </r>
    <r>
      <rPr>
        <sz val="10"/>
        <rFont val="Arial"/>
        <family val="0"/>
        <charset val="1"/>
      </rPr>
      <t xml:space="preserve">; L3 </t>
    </r>
    <r>
      <rPr>
        <sz val="10"/>
        <rFont val="DejaVu Sans"/>
        <family val="2"/>
      </rPr>
      <t xml:space="preserve">暂停交易所相关策略</t>
    </r>
  </si>
  <si>
    <r>
      <rPr>
        <sz val="10"/>
        <rFont val="Arial"/>
        <family val="0"/>
        <charset val="1"/>
      </rPr>
      <t xml:space="preserve">WS </t>
    </r>
    <r>
      <rPr>
        <sz val="10"/>
        <rFont val="DejaVu Sans"/>
        <family val="2"/>
      </rPr>
      <t xml:space="preserve">恢复连接且延迟正常</t>
    </r>
  </si>
  <si>
    <t xml:space="preserve">S-002</t>
  </si>
  <si>
    <t xml:space="preserve">风控系统整体失明风险</t>
  </si>
  <si>
    <t xml:space="preserve">L3</t>
  </si>
  <si>
    <t xml:space="preserve">多数据源同时断流</t>
  </si>
  <si>
    <r>
      <rPr>
        <sz val="10"/>
        <rFont val="Arial"/>
        <family val="0"/>
        <charset val="1"/>
      </rPr>
      <t xml:space="preserve">L3 </t>
    </r>
    <r>
      <rPr>
        <sz val="10"/>
        <rFont val="DejaVu Sans"/>
        <family val="2"/>
      </rPr>
      <t xml:space="preserve">全局暂停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电话告警</t>
    </r>
  </si>
  <si>
    <t xml:space="preserve">数据源恢复</t>
  </si>
  <si>
    <t xml:space="preserve">✅ 已实现</t>
  </si>
  <si>
    <t xml:space="preserve">S-003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</si>
  <si>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频控使用率过高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耗尽</t>
    </r>
  </si>
  <si>
    <t xml:space="preserve">rate_limit_usage &gt; threshold</t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</si>
  <si>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80%→L2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</si>
  <si>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降低请求频率</t>
    </r>
  </si>
  <si>
    <t xml:space="preserve">S-004</t>
  </si>
  <si>
    <r>
      <rPr>
        <sz val="10"/>
        <rFont val="DejaVu Sans"/>
        <family val="2"/>
      </rPr>
      <t xml:space="preserve">私有数据订阅断联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延迟</t>
    </r>
  </si>
  <si>
    <t xml:space="preserve">ws_private_connected=false / listen_key_expired=true / order_update_latency_ms &gt; threshold</t>
  </si>
  <si>
    <r>
      <rPr>
        <sz val="10"/>
        <rFont val="DejaVu Sans"/>
        <family val="2"/>
      </rPr>
      <t xml:space="preserve">断联即 </t>
    </r>
    <r>
      <rPr>
        <sz val="10"/>
        <rFont val="Arial"/>
        <family val="0"/>
        <charset val="1"/>
      </rPr>
      <t xml:space="preserve">L3; listenKey </t>
    </r>
    <r>
      <rPr>
        <sz val="10"/>
        <rFont val="DejaVu Sans"/>
        <family val="2"/>
      </rPr>
      <t xml:space="preserve">过期即 </t>
    </r>
    <r>
      <rPr>
        <sz val="10"/>
        <rFont val="Arial"/>
        <family val="0"/>
        <charset val="1"/>
      </rPr>
      <t xml:space="preserve">L3</t>
    </r>
  </si>
  <si>
    <r>
      <rPr>
        <sz val="10"/>
        <rFont val="Arial"/>
        <family val="0"/>
        <charset val="1"/>
      </rPr>
      <t xml:space="preserve">L3 </t>
    </r>
    <r>
      <rPr>
        <sz val="10"/>
        <rFont val="DejaVu Sans"/>
        <family val="2"/>
      </rPr>
      <t xml:space="preserve">暂停该账户所有策略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电话通知</t>
    </r>
  </si>
  <si>
    <r>
      <rPr>
        <sz val="10"/>
        <rFont val="DejaVu Sans"/>
        <family val="2"/>
      </rPr>
      <t xml:space="preserve">私有 </t>
    </r>
    <r>
      <rPr>
        <sz val="10"/>
        <rFont val="Arial"/>
        <family val="0"/>
        <charset val="1"/>
      </rPr>
      <t xml:space="preserve">WS </t>
    </r>
    <r>
      <rPr>
        <sz val="10"/>
        <rFont val="DejaVu Sans"/>
        <family val="2"/>
      </rPr>
      <t xml:space="preserve">恢复</t>
    </r>
  </si>
  <si>
    <t xml:space="preserve">🔲 新增</t>
  </si>
  <si>
    <t xml:space="preserve">S-005</t>
  </si>
  <si>
    <r>
      <rPr>
        <sz val="10"/>
        <rFont val="DejaVu Sans"/>
        <family val="2"/>
      </rPr>
      <t xml:space="preserve">数据陈旧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快照过期检测</t>
    </r>
  </si>
  <si>
    <t xml:space="preserve">public_data_age_ms / private_data_age_ms / position_snapshot_age_ms &gt; threshold</t>
  </si>
  <si>
    <r>
      <rPr>
        <sz val="10"/>
        <rFont val="DejaVu Sans"/>
        <family val="2"/>
      </rPr>
      <t xml:space="preserve">公共</t>
    </r>
    <r>
      <rPr>
        <sz val="10"/>
        <rFont val="Arial"/>
        <family val="0"/>
        <charset val="1"/>
      </rPr>
      <t xml:space="preserve">&gt;10s→L2; </t>
    </r>
    <r>
      <rPr>
        <sz val="10"/>
        <rFont val="DejaVu Sans"/>
        <family val="2"/>
      </rPr>
      <t xml:space="preserve">私有</t>
    </r>
    <r>
      <rPr>
        <sz val="10"/>
        <rFont val="Arial"/>
        <family val="0"/>
        <charset val="1"/>
      </rPr>
      <t xml:space="preserve">&gt;30s→L2; </t>
    </r>
    <r>
      <rPr>
        <sz val="10"/>
        <rFont val="DejaVu Sans"/>
        <family val="2"/>
      </rPr>
      <t xml:space="preserve">仓位</t>
    </r>
    <r>
      <rPr>
        <sz val="10"/>
        <rFont val="Arial"/>
        <family val="0"/>
        <charset val="1"/>
      </rPr>
      <t xml:space="preserve">&gt;60s→L3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</si>
  <si>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标记不可信</t>
    </r>
    <r>
      <rPr>
        <sz val="10"/>
        <rFont val="Arial"/>
        <family val="0"/>
        <charset val="1"/>
      </rPr>
      <t xml:space="preserve">; L3 </t>
    </r>
    <r>
      <rPr>
        <sz val="10"/>
        <rFont val="DejaVu Sans"/>
        <family val="2"/>
      </rPr>
      <t xml:space="preserve">暂停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强制</t>
    </r>
    <r>
      <rPr>
        <sz val="10"/>
        <rFont val="Arial"/>
        <family val="0"/>
        <charset val="1"/>
      </rPr>
      <t xml:space="preserve">REST</t>
    </r>
    <r>
      <rPr>
        <sz val="10"/>
        <rFont val="DejaVu Sans"/>
        <family val="2"/>
      </rPr>
      <t xml:space="preserve">刷新</t>
    </r>
  </si>
  <si>
    <t xml:space="preserve">数据刷新且年龄正常</t>
  </si>
  <si>
    <t xml:space="preserve">S-006</t>
  </si>
  <si>
    <t xml:space="preserve">数据真相源不一致</t>
  </si>
  <si>
    <r>
      <rPr>
        <sz val="10"/>
        <rFont val="DejaVu Sans"/>
        <family val="2"/>
      </rPr>
      <t xml:space="preserve">多源数据比对差异 </t>
    </r>
    <r>
      <rPr>
        <sz val="10"/>
        <rFont val="Arial"/>
        <family val="0"/>
        <charset val="1"/>
      </rPr>
      <t xml:space="preserve">&gt; threshold</t>
    </r>
  </si>
  <si>
    <t xml:space="preserve">数据一致</t>
  </si>
  <si>
    <t xml:space="preserve">S-007</t>
  </si>
  <si>
    <t xml:space="preserve">指标计算延迟过高</t>
  </si>
  <si>
    <t xml:space="preserve">metric_calc_latency &gt; threshold</t>
  </si>
  <si>
    <t xml:space="preserve">延迟降低</t>
  </si>
  <si>
    <t xml:space="preserve">S-008</t>
  </si>
  <si>
    <t xml:space="preserve">规则引擎运行异常</t>
  </si>
  <si>
    <r>
      <rPr>
        <sz val="10"/>
        <rFont val="Arial"/>
        <family val="0"/>
        <charset val="1"/>
      </rPr>
      <t xml:space="preserve">rule_engine </t>
    </r>
    <r>
      <rPr>
        <sz val="10"/>
        <rFont val="DejaVu Sans"/>
        <family val="2"/>
      </rPr>
      <t xml:space="preserve">异常检测</t>
    </r>
  </si>
  <si>
    <t xml:space="preserve">引擎恢复</t>
  </si>
  <si>
    <t xml:space="preserve">S-009</t>
  </si>
  <si>
    <r>
      <rPr>
        <sz val="10"/>
        <rFont val="Arial"/>
        <family val="0"/>
        <charset val="1"/>
      </rPr>
      <t xml:space="preserve">Watchdog </t>
    </r>
    <r>
      <rPr>
        <sz val="10"/>
        <rFont val="DejaVu Sans"/>
        <family val="2"/>
      </rPr>
      <t xml:space="preserve">主风控链路异常</t>
    </r>
  </si>
  <si>
    <r>
      <rPr>
        <sz val="10"/>
        <rFont val="DejaVu Sans"/>
        <family val="2"/>
      </rPr>
      <t xml:space="preserve">主风控链路 </t>
    </r>
    <r>
      <rPr>
        <sz val="10"/>
        <rFont val="Arial"/>
        <family val="0"/>
        <charset val="1"/>
      </rPr>
      <t xml:space="preserve">watchdog </t>
    </r>
    <r>
      <rPr>
        <sz val="10"/>
        <rFont val="DejaVu Sans"/>
        <family val="2"/>
      </rPr>
      <t xml:space="preserve">超时</t>
    </r>
  </si>
  <si>
    <r>
      <rPr>
        <sz val="10"/>
        <rFont val="Arial"/>
        <family val="0"/>
        <charset val="1"/>
      </rPr>
      <t xml:space="preserve">L3 </t>
    </r>
    <r>
      <rPr>
        <sz val="10"/>
        <rFont val="DejaVu Sans"/>
        <family val="2"/>
      </rPr>
      <t xml:space="preserve">全局暂停</t>
    </r>
  </si>
  <si>
    <t xml:space="preserve">链路恢复</t>
  </si>
  <si>
    <t xml:space="preserve">S-010</t>
  </si>
  <si>
    <r>
      <rPr>
        <sz val="10"/>
        <rFont val="DejaVu Sans"/>
        <family val="2"/>
      </rPr>
      <t xml:space="preserve">交易所</t>
    </r>
    <r>
      <rPr>
        <sz val="10"/>
        <rFont val="Arial"/>
        <family val="0"/>
        <charset val="1"/>
      </rPr>
      <t xml:space="preserve">/Symbol </t>
    </r>
    <r>
      <rPr>
        <sz val="10"/>
        <rFont val="DejaVu Sans"/>
        <family val="2"/>
      </rPr>
      <t xml:space="preserve">临时不可交易</t>
    </r>
  </si>
  <si>
    <r>
      <rPr>
        <sz val="10"/>
        <rFont val="DejaVu Sans"/>
        <family val="2"/>
      </rPr>
      <t xml:space="preserve">交易所</t>
    </r>
    <r>
      <rPr>
        <sz val="10"/>
        <rFont val="Arial"/>
        <family val="0"/>
        <charset val="1"/>
      </rPr>
      <t xml:space="preserve">/Symbol </t>
    </r>
    <r>
      <rPr>
        <sz val="10"/>
        <rFont val="DejaVu Sans"/>
        <family val="2"/>
      </rPr>
      <t xml:space="preserve">交易状态检测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</si>
  <si>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暂停相关策略</t>
    </r>
  </si>
  <si>
    <t xml:space="preserve">交易恢复</t>
  </si>
  <si>
    <t xml:space="preserve">S-011</t>
  </si>
  <si>
    <t xml:space="preserve">群组控制失效</t>
  </si>
  <si>
    <t xml:space="preserve">群组控制逻辑异常</t>
  </si>
  <si>
    <t xml:space="preserve">控制恢复</t>
  </si>
  <si>
    <t xml:space="preserve">S-012</t>
  </si>
  <si>
    <t xml:space="preserve">同源策略批量异常</t>
  </si>
  <si>
    <r>
      <rPr>
        <sz val="10"/>
        <rFont val="DejaVu Sans"/>
        <family val="2"/>
      </rPr>
      <t xml:space="preserve">同源策略异常数量 </t>
    </r>
    <r>
      <rPr>
        <sz val="10"/>
        <rFont val="Arial"/>
        <family val="0"/>
        <charset val="1"/>
      </rPr>
      <t xml:space="preserve">&gt; threshold</t>
    </r>
  </si>
  <si>
    <t xml:space="preserve">异常消除</t>
  </si>
  <si>
    <t xml:space="preserve">S-013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</si>
  <si>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契约漂移与静默变更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</si>
  <si>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响应结构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字段变化检测</t>
    </r>
  </si>
  <si>
    <t xml:space="preserve">确认并适配</t>
  </si>
  <si>
    <r>
      <rPr>
        <b val="true"/>
        <sz val="12"/>
        <color rgb="FF1F4E79"/>
        <rFont val="Arial"/>
        <family val="0"/>
        <charset val="1"/>
      </rPr>
      <t xml:space="preserve">▸ M-</t>
    </r>
    <r>
      <rPr>
        <b val="true"/>
        <sz val="12"/>
        <color rgb="FF1F4E79"/>
        <rFont val="DejaVu Sans"/>
        <family val="2"/>
      </rPr>
      <t xml:space="preserve">市场</t>
    </r>
  </si>
  <si>
    <t xml:space="preserve">M-001</t>
  </si>
  <si>
    <t xml:space="preserve">波动率突升</t>
  </si>
  <si>
    <r>
      <rPr>
        <sz val="10"/>
        <rFont val="Arial"/>
        <family val="0"/>
        <charset val="1"/>
      </rPr>
      <t xml:space="preserve">M-</t>
    </r>
    <r>
      <rPr>
        <sz val="10"/>
        <rFont val="DejaVu Sans"/>
        <family val="2"/>
      </rPr>
      <t xml:space="preserve">市场</t>
    </r>
  </si>
  <si>
    <t xml:space="preserve">RISK-MKT-001</t>
  </si>
  <si>
    <t xml:space="preserve">price_jump_pct_1h &gt; threshold</t>
  </si>
  <si>
    <r>
      <rPr>
        <sz val="10"/>
        <rFont val="DejaVu Sans"/>
        <family val="2"/>
      </rPr>
      <t xml:space="preserve">涨</t>
    </r>
    <r>
      <rPr>
        <sz val="10"/>
        <rFont val="Arial"/>
        <family val="0"/>
        <charset val="1"/>
      </rPr>
      <t xml:space="preserve">&gt;20%</t>
    </r>
    <r>
      <rPr>
        <sz val="10"/>
        <rFont val="DejaVu Sans"/>
        <family val="2"/>
      </rPr>
      <t xml:space="preserve">或跌</t>
    </r>
    <r>
      <rPr>
        <sz val="10"/>
        <rFont val="Arial"/>
        <family val="0"/>
        <charset val="1"/>
      </rPr>
      <t xml:space="preserve">&gt;10%</t>
    </r>
  </si>
  <si>
    <t xml:space="preserve">波动率回落</t>
  </si>
  <si>
    <t xml:space="preserve">M-002</t>
  </si>
  <si>
    <t xml:space="preserve">交易所接口健康恶化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</si>
  <si>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延迟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错误率上升</t>
    </r>
  </si>
  <si>
    <t xml:space="preserve">接口恢复</t>
  </si>
  <si>
    <t xml:space="preserve">M-003</t>
  </si>
  <si>
    <t xml:space="preserve">市场异常波动参与度收敛</t>
  </si>
  <si>
    <t xml:space="preserve">波动时降低参与度</t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</si>
  <si>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限制参与度</t>
    </r>
  </si>
  <si>
    <t xml:space="preserve">波动平息</t>
  </si>
  <si>
    <t xml:space="preserve">M-004</t>
  </si>
  <si>
    <t xml:space="preserve">资金费率异常波动</t>
  </si>
  <si>
    <t xml:space="preserve">RISK-MKT-002</t>
  </si>
  <si>
    <r>
      <rPr>
        <sz val="10"/>
        <rFont val="Arial"/>
        <family val="0"/>
        <charset val="1"/>
      </rPr>
      <t xml:space="preserve">funding_rate &gt; </t>
    </r>
    <r>
      <rPr>
        <sz val="10"/>
        <rFont val="DejaVu Sans"/>
        <family val="2"/>
      </rPr>
      <t xml:space="preserve">上限 或 </t>
    </r>
    <r>
      <rPr>
        <sz val="10"/>
        <rFont val="Arial"/>
        <family val="0"/>
        <charset val="1"/>
      </rPr>
      <t xml:space="preserve">&lt; </t>
    </r>
    <r>
      <rPr>
        <sz val="10"/>
        <rFont val="DejaVu Sans"/>
        <family val="2"/>
      </rPr>
      <t xml:space="preserve">下限</t>
    </r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</si>
  <si>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±0.03%</t>
    </r>
  </si>
  <si>
    <t xml:space="preserve">费率恢复正常</t>
  </si>
  <si>
    <t xml:space="preserve">M-005</t>
  </si>
  <si>
    <t xml:space="preserve">深度骤降</t>
  </si>
  <si>
    <r>
      <rPr>
        <sz val="10"/>
        <rFont val="Arial"/>
        <family val="0"/>
        <charset val="1"/>
      </rPr>
      <t xml:space="preserve">orderbook depth </t>
    </r>
    <r>
      <rPr>
        <sz val="10"/>
        <rFont val="DejaVu Sans"/>
        <family val="2"/>
      </rPr>
      <t xml:space="preserve">急剧减少</t>
    </r>
  </si>
  <si>
    <t xml:space="preserve">深度恢复</t>
  </si>
  <si>
    <t xml:space="preserve">M-006</t>
  </si>
  <si>
    <t xml:space="preserve">点差急剧扩张</t>
  </si>
  <si>
    <r>
      <rPr>
        <sz val="10"/>
        <rFont val="Arial"/>
        <family val="0"/>
        <charset val="1"/>
      </rPr>
      <t xml:space="preserve">spread </t>
    </r>
    <r>
      <rPr>
        <sz val="10"/>
        <rFont val="DejaVu Sans"/>
        <family val="2"/>
      </rPr>
      <t xml:space="preserve">急剧扩大</t>
    </r>
  </si>
  <si>
    <t xml:space="preserve">点差收窄</t>
  </si>
  <si>
    <t xml:space="preserve">M-007</t>
  </si>
  <si>
    <t xml:space="preserve">跨所价格偏离</t>
  </si>
  <si>
    <t xml:space="preserve">cross_exchange_price_deviation &gt; threshold</t>
  </si>
  <si>
    <t xml:space="preserve">价格收敛</t>
  </si>
  <si>
    <t xml:space="preserve">M-008</t>
  </si>
  <si>
    <r>
      <rPr>
        <sz val="10"/>
        <rFont val="DejaVu Sans"/>
        <family val="2"/>
      </rPr>
      <t xml:space="preserve">毒性订单流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逆向选择恶化</t>
    </r>
  </si>
  <si>
    <r>
      <rPr>
        <sz val="10"/>
        <rFont val="Arial"/>
        <family val="0"/>
        <charset val="1"/>
      </rPr>
      <t xml:space="preserve">toxic_flow </t>
    </r>
    <r>
      <rPr>
        <sz val="10"/>
        <rFont val="DejaVu Sans"/>
        <family val="2"/>
      </rPr>
      <t xml:space="preserve">指标恶化</t>
    </r>
  </si>
  <si>
    <t xml:space="preserve">指标恢复</t>
  </si>
  <si>
    <t xml:space="preserve">M-009</t>
  </si>
  <si>
    <t xml:space="preserve">微观结构恶化</t>
  </si>
  <si>
    <r>
      <rPr>
        <sz val="10"/>
        <rFont val="Arial"/>
        <family val="0"/>
        <charset val="1"/>
      </rPr>
      <t xml:space="preserve">microstructure </t>
    </r>
    <r>
      <rPr>
        <sz val="10"/>
        <rFont val="DejaVu Sans"/>
        <family val="2"/>
      </rPr>
      <t xml:space="preserve">综合指标劣化</t>
    </r>
  </si>
  <si>
    <t xml:space="preserve">结构恢复</t>
  </si>
  <si>
    <r>
      <rPr>
        <b val="true"/>
        <sz val="12"/>
        <color rgb="FF1F4E79"/>
        <rFont val="Arial"/>
        <family val="0"/>
        <charset val="1"/>
      </rPr>
      <t xml:space="preserve">▸ B-</t>
    </r>
    <r>
      <rPr>
        <b val="true"/>
        <sz val="12"/>
        <color rgb="FF1F4E79"/>
        <rFont val="DejaVu Sans"/>
        <family val="2"/>
      </rPr>
      <t xml:space="preserve">行为</t>
    </r>
  </si>
  <si>
    <t xml:space="preserve">B-001</t>
  </si>
  <si>
    <t xml:space="preserve">异常成交放量</t>
  </si>
  <si>
    <r>
      <rPr>
        <sz val="10"/>
        <rFont val="Arial"/>
        <family val="0"/>
        <charset val="1"/>
      </rPr>
      <t xml:space="preserve">B-</t>
    </r>
    <r>
      <rPr>
        <sz val="10"/>
        <rFont val="DejaVu Sans"/>
        <family val="2"/>
      </rPr>
      <t xml:space="preserve">行为</t>
    </r>
  </si>
  <si>
    <t xml:space="preserve">RISK-VOL-001</t>
  </si>
  <si>
    <r>
      <rPr>
        <sz val="10"/>
        <rFont val="Arial"/>
        <family val="0"/>
        <charset val="1"/>
      </rPr>
      <t xml:space="preserve">volume_usd_1h &gt; threshold </t>
    </r>
    <r>
      <rPr>
        <sz val="10"/>
        <rFont val="DejaVu Sans"/>
        <family val="2"/>
      </rPr>
      <t xml:space="preserve">或 </t>
    </r>
    <r>
      <rPr>
        <sz val="10"/>
        <rFont val="Arial"/>
        <family val="0"/>
        <charset val="1"/>
      </rPr>
      <t xml:space="preserve">volume_usd_24h &gt; threshold</t>
    </r>
  </si>
  <si>
    <t xml:space="preserve">成交量回落</t>
  </si>
  <si>
    <t xml:space="preserve">B-002</t>
  </si>
  <si>
    <t xml:space="preserve">单边成交比例异常</t>
  </si>
  <si>
    <t xml:space="preserve">RISK-VOL-002, MAN-A002</t>
  </si>
  <si>
    <t xml:space="preserve">directional_ratio_1h &gt; threshold</t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</si>
  <si>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限制同向交易</t>
    </r>
  </si>
  <si>
    <t xml:space="preserve">比例恢复</t>
  </si>
  <si>
    <t xml:space="preserve">B-003</t>
  </si>
  <si>
    <t xml:space="preserve">单笔订单规模异常</t>
  </si>
  <si>
    <t xml:space="preserve">RISK-ORD-001</t>
  </si>
  <si>
    <t xml:space="preserve">order_value_usd &gt; threshold</t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</si>
  <si>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$200</t>
    </r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</si>
  <si>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告警（不拒单）</t>
    </r>
  </si>
  <si>
    <t xml:space="preserve">B-004</t>
  </si>
  <si>
    <t xml:space="preserve">非授权交易</t>
  </si>
  <si>
    <r>
      <rPr>
        <sz val="10"/>
        <rFont val="DejaVu Sans"/>
        <family val="2"/>
      </rPr>
      <t xml:space="preserve">非授权交易对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方向检测</t>
    </r>
  </si>
  <si>
    <t xml:space="preserve">确认授权</t>
  </si>
  <si>
    <t xml:space="preserve">B-005</t>
  </si>
  <si>
    <t xml:space="preserve">高成交低净仓变化</t>
  </si>
  <si>
    <t xml:space="preserve">成交量高但净仓变化低</t>
  </si>
  <si>
    <t xml:space="preserve">B-006</t>
  </si>
  <si>
    <r>
      <rPr>
        <sz val="10"/>
        <rFont val="DejaVu Sans"/>
        <family val="2"/>
      </rPr>
      <t xml:space="preserve">异常滑点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执行质量劣化</t>
    </r>
  </si>
  <si>
    <t xml:space="preserve">slippage &gt; threshold</t>
  </si>
  <si>
    <t xml:space="preserve">滑点恢复</t>
  </si>
  <si>
    <t xml:space="preserve">B-007</t>
  </si>
  <si>
    <t xml:space="preserve">手工单异常</t>
  </si>
  <si>
    <t xml:space="preserve">手工单检测</t>
  </si>
  <si>
    <t xml:space="preserve">B-008</t>
  </si>
  <si>
    <r>
      <rPr>
        <sz val="10"/>
        <rFont val="DejaVu Sans"/>
        <family val="2"/>
      </rPr>
      <t xml:space="preserve">对敲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刷量嫌疑（基础版）</t>
    </r>
  </si>
  <si>
    <t xml:space="preserve">对敲模式检测</t>
  </si>
  <si>
    <t xml:space="preserve">B-009</t>
  </si>
  <si>
    <t xml:space="preserve">Wash Trade / Self-Trade</t>
  </si>
  <si>
    <r>
      <rPr>
        <sz val="10"/>
        <rFont val="Arial"/>
        <family val="0"/>
        <charset val="1"/>
      </rPr>
      <t xml:space="preserve">self-trade </t>
    </r>
    <r>
      <rPr>
        <sz val="10"/>
        <rFont val="DejaVu Sans"/>
        <family val="2"/>
      </rPr>
      <t xml:space="preserve">检测</t>
    </r>
  </si>
  <si>
    <t xml:space="preserve">B-010</t>
  </si>
  <si>
    <r>
      <rPr>
        <sz val="10"/>
        <rFont val="DejaVu Sans"/>
        <family val="2"/>
      </rPr>
      <t xml:space="preserve">挂撤单比例（</t>
    </r>
    <r>
      <rPr>
        <sz val="10"/>
        <rFont val="Arial"/>
        <family val="0"/>
        <charset val="1"/>
      </rPr>
      <t xml:space="preserve">OTR</t>
    </r>
    <r>
      <rPr>
        <sz val="10"/>
        <rFont val="DejaVu Sans"/>
        <family val="2"/>
      </rPr>
      <t xml:space="preserve">）异常</t>
    </r>
  </si>
  <si>
    <t xml:space="preserve">order_to_trade_ratio &gt; threshold</t>
  </si>
  <si>
    <r>
      <rPr>
        <sz val="10"/>
        <rFont val="Arial"/>
        <family val="0"/>
        <charset val="1"/>
      </rPr>
      <t xml:space="preserve">OTR </t>
    </r>
    <r>
      <rPr>
        <sz val="10"/>
        <rFont val="DejaVu Sans"/>
        <family val="2"/>
      </rPr>
      <t xml:space="preserve">回落</t>
    </r>
  </si>
  <si>
    <t xml:space="preserve">B-011</t>
  </si>
  <si>
    <t xml:space="preserve">多账户高相似执行行为</t>
  </si>
  <si>
    <t xml:space="preserve">多账户行为相似度检测</t>
  </si>
  <si>
    <t xml:space="preserve">B-012</t>
  </si>
  <si>
    <r>
      <rPr>
        <sz val="10"/>
        <rFont val="DejaVu Sans"/>
        <family val="2"/>
      </rPr>
      <t xml:space="preserve">单腿暴露（</t>
    </r>
    <r>
      <rPr>
        <sz val="10"/>
        <rFont val="Arial"/>
        <family val="0"/>
        <charset val="1"/>
      </rPr>
      <t xml:space="preserve">Leg Risk</t>
    </r>
    <r>
      <rPr>
        <sz val="10"/>
        <rFont val="DejaVu Sans"/>
        <family val="2"/>
      </rPr>
      <t xml:space="preserve">）监控</t>
    </r>
  </si>
  <si>
    <r>
      <rPr>
        <sz val="10"/>
        <rFont val="Arial"/>
        <family val="0"/>
        <charset val="1"/>
      </rPr>
      <t xml:space="preserve">leg_risk </t>
    </r>
    <r>
      <rPr>
        <sz val="10"/>
        <rFont val="DejaVu Sans"/>
        <family val="2"/>
      </rPr>
      <t xml:space="preserve">检测</t>
    </r>
  </si>
  <si>
    <t xml:space="preserve">对冲完成</t>
  </si>
  <si>
    <r>
      <rPr>
        <b val="true"/>
        <sz val="12"/>
        <color rgb="FF1F4E79"/>
        <rFont val="Arial"/>
        <family val="0"/>
        <charset val="1"/>
      </rPr>
      <t xml:space="preserve">▸ C-</t>
    </r>
    <r>
      <rPr>
        <b val="true"/>
        <sz val="12"/>
        <color rgb="FF1F4E79"/>
        <rFont val="DejaVu Sans"/>
        <family val="2"/>
      </rPr>
      <t xml:space="preserve">合规</t>
    </r>
  </si>
  <si>
    <t xml:space="preserve">C-001</t>
  </si>
  <si>
    <t xml:space="preserve">多账户关联执行合规风险</t>
  </si>
  <si>
    <r>
      <rPr>
        <sz val="10"/>
        <rFont val="Arial"/>
        <family val="0"/>
        <charset val="1"/>
      </rPr>
      <t xml:space="preserve">C-</t>
    </r>
    <r>
      <rPr>
        <sz val="10"/>
        <rFont val="DejaVu Sans"/>
        <family val="2"/>
      </rPr>
      <t xml:space="preserve">合规</t>
    </r>
  </si>
  <si>
    <t xml:space="preserve">多账户关联行为检测</t>
  </si>
  <si>
    <t xml:space="preserve">C-002</t>
  </si>
  <si>
    <t xml:space="preserve">多账户规避平台限制风险</t>
  </si>
  <si>
    <t xml:space="preserve">规避限制行为检测</t>
  </si>
  <si>
    <t xml:space="preserve">C-003</t>
  </si>
  <si>
    <r>
      <rPr>
        <sz val="10"/>
        <rFont val="DejaVu Sans"/>
        <family val="2"/>
      </rPr>
      <t xml:space="preserve">做市资格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激励资格受损</t>
    </r>
  </si>
  <si>
    <t xml:space="preserve">做市资格状态监控</t>
  </si>
  <si>
    <t xml:space="preserve">资格恢复</t>
  </si>
  <si>
    <t xml:space="preserve">C-004</t>
  </si>
  <si>
    <r>
      <rPr>
        <sz val="10"/>
        <rFont val="DejaVu Sans"/>
        <family val="2"/>
      </rPr>
      <t xml:space="preserve">账户被平台限制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降权</t>
    </r>
  </si>
  <si>
    <t xml:space="preserve">账户限制状态检测</t>
  </si>
  <si>
    <t xml:space="preserve">限制解除</t>
  </si>
  <si>
    <r>
      <rPr>
        <b val="true"/>
        <sz val="12"/>
        <color rgb="FF1F4E79"/>
        <rFont val="Arial"/>
        <family val="0"/>
        <charset val="1"/>
      </rPr>
      <t xml:space="preserve">▸ P-</t>
    </r>
    <r>
      <rPr>
        <b val="true"/>
        <sz val="12"/>
        <color rgb="FF1F4E79"/>
        <rFont val="DejaVu Sans"/>
        <family val="2"/>
      </rPr>
      <t xml:space="preserve">权限</t>
    </r>
  </si>
  <si>
    <t xml:space="preserve">P-001</t>
  </si>
  <si>
    <t xml:space="preserve">提币权限异常开启</t>
  </si>
  <si>
    <r>
      <rPr>
        <sz val="10"/>
        <rFont val="Arial"/>
        <family val="0"/>
        <charset val="1"/>
      </rPr>
      <t xml:space="preserve">P-</t>
    </r>
    <r>
      <rPr>
        <sz val="10"/>
        <rFont val="DejaVu Sans"/>
        <family val="2"/>
      </rPr>
      <t xml:space="preserve">权限</t>
    </r>
  </si>
  <si>
    <r>
      <rPr>
        <sz val="10"/>
        <rFont val="Arial"/>
        <family val="0"/>
        <charset val="1"/>
      </rPr>
      <t xml:space="preserve">RISK-POS</t>
    </r>
    <r>
      <rPr>
        <sz val="10"/>
        <rFont val="DejaVu Sans"/>
        <family val="2"/>
      </rPr>
      <t xml:space="preserve">（权限检查）</t>
    </r>
  </si>
  <si>
    <r>
      <rPr>
        <sz val="10"/>
        <rFont val="Arial"/>
        <family val="0"/>
        <charset val="1"/>
      </rPr>
      <t xml:space="preserve">withdraw_enabled = true </t>
    </r>
    <r>
      <rPr>
        <sz val="10"/>
        <rFont val="DejaVu Sans"/>
        <family val="2"/>
      </rPr>
      <t xml:space="preserve">且不在白名单</t>
    </r>
  </si>
  <si>
    <t xml:space="preserve">权限关闭</t>
  </si>
  <si>
    <t xml:space="preserve">P-002</t>
  </si>
  <si>
    <t xml:space="preserve">非授权交易范围开放</t>
  </si>
  <si>
    <t xml:space="preserve">交易范围超出授权检测</t>
  </si>
  <si>
    <t xml:space="preserve">权限收回</t>
  </si>
  <si>
    <t xml:space="preserve">P-003</t>
  </si>
  <si>
    <r>
      <rPr>
        <sz val="10"/>
        <rFont val="DejaVu Sans"/>
        <family val="2"/>
      </rPr>
      <t xml:space="preserve">高危 </t>
    </r>
    <r>
      <rPr>
        <sz val="10"/>
        <rFont val="Arial"/>
        <family val="0"/>
        <charset val="1"/>
      </rPr>
      <t xml:space="preserve">API Key </t>
    </r>
    <r>
      <rPr>
        <sz val="10"/>
        <rFont val="DejaVu Sans"/>
        <family val="2"/>
      </rPr>
      <t xml:space="preserve">未及时停用</t>
    </r>
  </si>
  <si>
    <r>
      <rPr>
        <sz val="10"/>
        <rFont val="DejaVu Sans"/>
        <family val="2"/>
      </rPr>
      <t xml:space="preserve">高危 </t>
    </r>
    <r>
      <rPr>
        <sz val="10"/>
        <rFont val="Arial"/>
        <family val="0"/>
        <charset val="1"/>
      </rPr>
      <t xml:space="preserve">Key </t>
    </r>
    <r>
      <rPr>
        <sz val="10"/>
        <rFont val="DejaVu Sans"/>
        <family val="2"/>
      </rPr>
      <t xml:space="preserve">存活时间检测</t>
    </r>
  </si>
  <si>
    <r>
      <rPr>
        <sz val="10"/>
        <rFont val="Arial"/>
        <family val="0"/>
        <charset val="1"/>
      </rPr>
      <t xml:space="preserve">Key </t>
    </r>
    <r>
      <rPr>
        <sz val="10"/>
        <rFont val="DejaVu Sans"/>
        <family val="2"/>
      </rPr>
      <t xml:space="preserve">停用</t>
    </r>
  </si>
  <si>
    <t xml:space="preserve">P-004</t>
  </si>
  <si>
    <t xml:space="preserve">多账户权限过度扩散风险</t>
  </si>
  <si>
    <t xml:space="preserve">权限扩散度检测</t>
  </si>
  <si>
    <t xml:space="preserve">权限收敛</t>
  </si>
  <si>
    <t xml:space="preserve">P-005</t>
  </si>
  <si>
    <r>
      <rPr>
        <sz val="10"/>
        <rFont val="DejaVu Sans"/>
        <family val="2"/>
      </rPr>
      <t xml:space="preserve">大额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异常提币实时监控</t>
    </r>
  </si>
  <si>
    <r>
      <rPr>
        <sz val="10"/>
        <rFont val="DejaVu Sans"/>
        <family val="2"/>
      </rPr>
      <t xml:space="preserve">提币金额 </t>
    </r>
    <r>
      <rPr>
        <sz val="10"/>
        <rFont val="Arial"/>
        <family val="0"/>
        <charset val="1"/>
      </rPr>
      <t xml:space="preserve">&gt; threshold </t>
    </r>
    <r>
      <rPr>
        <sz val="10"/>
        <rFont val="DejaVu Sans"/>
        <family val="2"/>
      </rPr>
      <t xml:space="preserve">或异常模式</t>
    </r>
  </si>
  <si>
    <r>
      <rPr>
        <sz val="10"/>
        <rFont val="Arial"/>
        <family val="0"/>
        <charset val="1"/>
      </rPr>
      <t xml:space="preserve">L3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电话通知</t>
    </r>
  </si>
  <si>
    <t xml:space="preserve">确认安全</t>
  </si>
  <si>
    <t xml:space="preserve">P-006</t>
  </si>
  <si>
    <t xml:space="preserve">异常资金划转监控</t>
  </si>
  <si>
    <r>
      <rPr>
        <sz val="10"/>
        <rFont val="DejaVu Sans"/>
        <family val="2"/>
      </rPr>
      <t xml:space="preserve">划转金额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频率异常</t>
    </r>
  </si>
  <si>
    <t xml:space="preserve">P-007</t>
  </si>
  <si>
    <r>
      <rPr>
        <sz val="10"/>
        <rFont val="Arial"/>
        <family val="0"/>
        <charset val="1"/>
      </rPr>
      <t xml:space="preserve">API Key IP </t>
    </r>
    <r>
      <rPr>
        <sz val="10"/>
        <rFont val="DejaVu Sans"/>
        <family val="2"/>
      </rPr>
      <t xml:space="preserve">白名单变更监控</t>
    </r>
  </si>
  <si>
    <r>
      <rPr>
        <sz val="10"/>
        <rFont val="Arial"/>
        <family val="0"/>
        <charset val="1"/>
      </rPr>
      <t xml:space="preserve">IP </t>
    </r>
    <r>
      <rPr>
        <sz val="10"/>
        <rFont val="DejaVu Sans"/>
        <family val="2"/>
      </rPr>
      <t xml:space="preserve">白名单变更事件检测</t>
    </r>
  </si>
  <si>
    <t xml:space="preserve">确认变更合法</t>
  </si>
  <si>
    <r>
      <rPr>
        <b val="true"/>
        <sz val="12"/>
        <color rgb="FF1F4E79"/>
        <rFont val="Arial"/>
        <family val="0"/>
        <charset val="1"/>
      </rPr>
      <t xml:space="preserve">▸ BASE-</t>
    </r>
    <r>
      <rPr>
        <b val="true"/>
        <sz val="12"/>
        <color rgb="FF1F4E79"/>
        <rFont val="DejaVu Sans"/>
        <family val="2"/>
      </rPr>
      <t xml:space="preserve">执行基础</t>
    </r>
  </si>
  <si>
    <t xml:space="preserve">BASE-001</t>
  </si>
  <si>
    <t xml:space="preserve">策略运行时间窗口检查</t>
  </si>
  <si>
    <r>
      <rPr>
        <sz val="10"/>
        <rFont val="Arial"/>
        <family val="0"/>
        <charset val="1"/>
      </rPr>
      <t xml:space="preserve">BASE-</t>
    </r>
    <r>
      <rPr>
        <sz val="10"/>
        <rFont val="DejaVu Sans"/>
        <family val="2"/>
      </rPr>
      <t xml:space="preserve">执行基础</t>
    </r>
  </si>
  <si>
    <t xml:space="preserve">RISK-BASE-001</t>
  </si>
  <si>
    <t xml:space="preserve">current_time NOT IN [start_time, end_time]</t>
  </si>
  <si>
    <t xml:space="preserve">由策略配置</t>
  </si>
  <si>
    <t xml:space="preserve">PAUSED</t>
  </si>
  <si>
    <t xml:space="preserve">进入时间窗口</t>
  </si>
  <si>
    <t xml:space="preserve">BASE-002</t>
  </si>
  <si>
    <r>
      <rPr>
        <sz val="10"/>
        <rFont val="DejaVu Sans"/>
        <family val="2"/>
      </rPr>
      <t xml:space="preserve">单笔订单规模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支出范围检查</t>
    </r>
  </si>
  <si>
    <t xml:space="preserve">RISK-ORD-001 + RISK-BASE-002</t>
  </si>
  <si>
    <r>
      <rPr>
        <sz val="10"/>
        <rFont val="Arial"/>
        <family val="0"/>
        <charset val="1"/>
      </rPr>
      <t xml:space="preserve">order_qty &gt; $MaxOrderQty </t>
    </r>
    <r>
      <rPr>
        <sz val="10"/>
        <rFont val="DejaVu Sans"/>
        <family val="2"/>
      </rPr>
      <t xml:space="preserve">或 </t>
    </r>
    <r>
      <rPr>
        <sz val="10"/>
        <rFont val="Arial"/>
        <family val="0"/>
        <charset val="1"/>
      </rPr>
      <t xml:space="preserve">order_value_usd &gt; $MaxOrderValue</t>
    </r>
  </si>
  <si>
    <r>
      <rPr>
        <sz val="10"/>
        <rFont val="DejaVu Sans"/>
        <family val="2"/>
      </rPr>
      <t xml:space="preserve">拒绝订单</t>
    </r>
    <r>
      <rPr>
        <sz val="10"/>
        <rFont val="Arial"/>
        <family val="0"/>
        <charset val="1"/>
      </rPr>
      <t xml:space="preserve">; </t>
    </r>
    <r>
      <rPr>
        <sz val="10"/>
        <rFont val="DejaVu Sans"/>
        <family val="2"/>
      </rPr>
      <t xml:space="preserve">持续触发则降级</t>
    </r>
  </si>
  <si>
    <t xml:space="preserve">BASE-003</t>
  </si>
  <si>
    <t xml:space="preserve">下单价格偏离限制</t>
  </si>
  <si>
    <t xml:space="preserve">RISK-ORD-002</t>
  </si>
  <si>
    <t xml:space="preserve">price_deviation = abs(order_price - mid_price)/mid_price &gt; $MaxPriceDeviation</t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</si>
  <si>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20%</t>
    </r>
  </si>
  <si>
    <r>
      <rPr>
        <sz val="10"/>
        <rFont val="DejaVu Sans"/>
        <family val="2"/>
      </rPr>
      <t xml:space="preserve">拒绝订单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告警</t>
    </r>
  </si>
  <si>
    <t xml:space="preserve">BASE-004</t>
  </si>
  <si>
    <t xml:space="preserve">下单间隔与节奏检查</t>
  </si>
  <si>
    <t xml:space="preserve">RISK-BASE-003</t>
  </si>
  <si>
    <t xml:space="preserve">trades[n].execTime - trades[n-1].execTime &lt; tick</t>
  </si>
  <si>
    <t xml:space="preserve">降一级</t>
  </si>
  <si>
    <t xml:space="preserve">间隔恢复</t>
  </si>
  <si>
    <t xml:space="preserve">shared</t>
  </si>
  <si>
    <t xml:space="preserve">BASE-005</t>
  </si>
  <si>
    <r>
      <rPr>
        <sz val="10"/>
        <rFont val="DejaVu Sans"/>
        <family val="2"/>
      </rPr>
      <t xml:space="preserve">执行账户</t>
    </r>
    <r>
      <rPr>
        <sz val="10"/>
        <rFont val="Arial"/>
        <family val="0"/>
        <charset val="1"/>
      </rPr>
      <t xml:space="preserve">/IP </t>
    </r>
    <r>
      <rPr>
        <sz val="10"/>
        <rFont val="DejaVu Sans"/>
        <family val="2"/>
      </rPr>
      <t xml:space="preserve">分发异常检查</t>
    </r>
  </si>
  <si>
    <t xml:space="preserve">RISK-BASE-004</t>
  </si>
  <si>
    <r>
      <rPr>
        <sz val="10"/>
        <rFont val="DejaVu Sans"/>
        <family val="2"/>
      </rPr>
      <t xml:space="preserve">同一 </t>
    </r>
    <r>
      <rPr>
        <sz val="10"/>
        <rFont val="Arial"/>
        <family val="0"/>
        <charset val="1"/>
      </rPr>
      <t xml:space="preserve">IP/</t>
    </r>
    <r>
      <rPr>
        <sz val="10"/>
        <rFont val="DejaVu Sans"/>
        <family val="2"/>
      </rPr>
      <t xml:space="preserve">账户挂单过多</t>
    </r>
  </si>
  <si>
    <r>
      <rPr>
        <sz val="10"/>
        <rFont val="DejaVu Sans"/>
        <family val="2"/>
      </rPr>
      <t xml:space="preserve">如集中度</t>
    </r>
    <r>
      <rPr>
        <sz val="10"/>
        <rFont val="Arial"/>
        <family val="0"/>
        <charset val="1"/>
      </rPr>
      <t xml:space="preserve">&gt;60%</t>
    </r>
  </si>
  <si>
    <t xml:space="preserve">分散恢复</t>
  </si>
  <si>
    <r>
      <rPr>
        <b val="true"/>
        <sz val="12"/>
        <color rgb="FF1F4E79"/>
        <rFont val="Arial"/>
        <family val="0"/>
        <charset val="1"/>
      </rPr>
      <t xml:space="preserve">▸ STG-</t>
    </r>
    <r>
      <rPr>
        <b val="true"/>
        <sz val="12"/>
        <color rgb="FF1F4E79"/>
        <rFont val="DejaVu Sans"/>
        <family val="2"/>
      </rPr>
      <t xml:space="preserve">策略通用</t>
    </r>
  </si>
  <si>
    <t xml:space="preserve">STG-001</t>
  </si>
  <si>
    <t xml:space="preserve">策略心跳超时</t>
  </si>
  <si>
    <r>
      <rPr>
        <sz val="10"/>
        <rFont val="Arial"/>
        <family val="0"/>
        <charset val="1"/>
      </rPr>
      <t xml:space="preserve">STG-</t>
    </r>
    <r>
      <rPr>
        <sz val="10"/>
        <rFont val="DejaVu Sans"/>
        <family val="2"/>
      </rPr>
      <t xml:space="preserve">策略通用</t>
    </r>
  </si>
  <si>
    <t xml:space="preserve">now() - last_heartbeat_ts &gt; heartbeat_timeout</t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</si>
  <si>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30s</t>
    </r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</si>
  <si>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告警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暂停该策略</t>
    </r>
  </si>
  <si>
    <t xml:space="preserve">心跳恢复</t>
  </si>
  <si>
    <t xml:space="preserve">strategy_engine / shared</t>
  </si>
  <si>
    <t xml:space="preserve">⛔ POST-MVP</t>
  </si>
  <si>
    <r>
      <rPr>
        <b val="true"/>
        <sz val="12"/>
        <color rgb="FF1F4E79"/>
        <rFont val="Arial"/>
        <family val="0"/>
        <charset val="1"/>
      </rPr>
      <t xml:space="preserve">▸ ARB-</t>
    </r>
    <r>
      <rPr>
        <b val="true"/>
        <sz val="12"/>
        <color rgb="FF1F4E79"/>
        <rFont val="DejaVu Sans"/>
        <family val="2"/>
      </rPr>
      <t xml:space="preserve">套利策略</t>
    </r>
  </si>
  <si>
    <t xml:space="preserve">ARB-001</t>
  </si>
  <si>
    <t xml:space="preserve">套利未对冲敞口风险</t>
  </si>
  <si>
    <r>
      <rPr>
        <sz val="10"/>
        <rFont val="Arial"/>
        <family val="0"/>
        <charset val="1"/>
      </rPr>
      <t xml:space="preserve">ARB-</t>
    </r>
    <r>
      <rPr>
        <sz val="10"/>
        <rFont val="DejaVu Sans"/>
        <family val="2"/>
      </rPr>
      <t xml:space="preserve">套利策略</t>
    </r>
  </si>
  <si>
    <t xml:space="preserve">unhedged_exposure_usd &gt; $MaxUnhedgedExposure</t>
  </si>
  <si>
    <r>
      <rPr>
        <sz val="10"/>
        <rFont val="DejaVu Sans"/>
        <family val="2"/>
      </rPr>
      <t xml:space="preserve">限制套利策略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降级</t>
    </r>
  </si>
  <si>
    <t xml:space="preserve">ARB-002</t>
  </si>
  <si>
    <t xml:space="preserve">套利价差净收益检查</t>
  </si>
  <si>
    <t xml:space="preserve">RISK-CroArb-001</t>
  </si>
  <si>
    <t xml:space="preserve">(sellPrice - buyPrice)/midPrice &lt; minSpreadBps</t>
  </si>
  <si>
    <t xml:space="preserve">DEGRADED</t>
  </si>
  <si>
    <t xml:space="preserve">价差恢复</t>
  </si>
  <si>
    <t xml:space="preserve">strategy_engine</t>
  </si>
  <si>
    <r>
      <rPr>
        <b val="true"/>
        <sz val="12"/>
        <color rgb="FF1F4E79"/>
        <rFont val="Arial"/>
        <family val="0"/>
        <charset val="1"/>
      </rPr>
      <t xml:space="preserve">▸ LIQ-</t>
    </r>
    <r>
      <rPr>
        <b val="true"/>
        <sz val="12"/>
        <color rgb="FF1F4E79"/>
        <rFont val="DejaVu Sans"/>
        <family val="2"/>
      </rPr>
      <t xml:space="preserve">流动性策略</t>
    </r>
  </si>
  <si>
    <t xml:space="preserve">LIQ-001</t>
  </si>
  <si>
    <t xml:space="preserve">挂单跨越中价检查</t>
  </si>
  <si>
    <r>
      <rPr>
        <sz val="10"/>
        <rFont val="Arial"/>
        <family val="0"/>
        <charset val="1"/>
      </rPr>
      <t xml:space="preserve">LIQ-</t>
    </r>
    <r>
      <rPr>
        <sz val="10"/>
        <rFont val="DejaVu Sans"/>
        <family val="2"/>
      </rPr>
      <t xml:space="preserve">流动性策略</t>
    </r>
  </si>
  <si>
    <t xml:space="preserve">RISK-LIQ-P001</t>
  </si>
  <si>
    <r>
      <rPr>
        <sz val="10"/>
        <rFont val="DejaVu Sans"/>
        <family val="2"/>
      </rPr>
      <t xml:space="preserve">买单 </t>
    </r>
    <r>
      <rPr>
        <sz val="10"/>
        <rFont val="Arial"/>
        <family val="0"/>
        <charset val="1"/>
      </rPr>
      <t xml:space="preserve">execPrice &gt; midPrice </t>
    </r>
    <r>
      <rPr>
        <sz val="10"/>
        <rFont val="DejaVu Sans"/>
        <family val="2"/>
      </rPr>
      <t xml:space="preserve">或 卖单 </t>
    </r>
    <r>
      <rPr>
        <sz val="10"/>
        <rFont val="Arial"/>
        <family val="0"/>
        <charset val="1"/>
      </rPr>
      <t xml:space="preserve">execPrice &lt; midPrice</t>
    </r>
  </si>
  <si>
    <t xml:space="preserve">LIQ-002</t>
  </si>
  <si>
    <t xml:space="preserve">网格结构偏离检查</t>
  </si>
  <si>
    <t xml:space="preserve">RISK-LIQ-P002</t>
  </si>
  <si>
    <t xml:space="preserve">网格参数超配置</t>
  </si>
  <si>
    <t xml:space="preserve">LIQ-003</t>
  </si>
  <si>
    <r>
      <rPr>
        <sz val="10"/>
        <rFont val="DejaVu Sans"/>
        <family val="2"/>
      </rPr>
      <t xml:space="preserve">每 </t>
    </r>
    <r>
      <rPr>
        <sz val="10"/>
        <rFont val="Arial"/>
        <family val="0"/>
        <charset val="1"/>
      </rPr>
      <t xml:space="preserve">tick </t>
    </r>
    <r>
      <rPr>
        <sz val="10"/>
        <rFont val="DejaVu Sans"/>
        <family val="2"/>
      </rPr>
      <t xml:space="preserve">最大资本投放控制</t>
    </r>
  </si>
  <si>
    <t xml:space="preserve">RISK-LIQ-P003</t>
  </si>
  <si>
    <t xml:space="preserve">Σsize &gt; maxCapitalAllocationPct × baseTotal</t>
  </si>
  <si>
    <r>
      <rPr>
        <sz val="10"/>
        <rFont val="DejaVu Sans"/>
        <family val="2"/>
      </rPr>
      <t xml:space="preserve">如 </t>
    </r>
    <r>
      <rPr>
        <sz val="10"/>
        <rFont val="Arial"/>
        <family val="0"/>
        <charset val="1"/>
      </rPr>
      <t xml:space="preserve">10%</t>
    </r>
  </si>
  <si>
    <t xml:space="preserve">限制下单</t>
  </si>
  <si>
    <r>
      <rPr>
        <b val="true"/>
        <sz val="12"/>
        <color rgb="FF1F4E79"/>
        <rFont val="Arial"/>
        <family val="0"/>
        <charset val="1"/>
      </rPr>
      <t xml:space="preserve">▸ MAN-</t>
    </r>
    <r>
      <rPr>
        <b val="true"/>
        <sz val="12"/>
        <color rgb="FF1F4E79"/>
        <rFont val="DejaVu Sans"/>
        <family val="2"/>
      </rPr>
      <t xml:space="preserve">市值管理策略</t>
    </r>
  </si>
  <si>
    <t xml:space="preserve">MAN-001</t>
  </si>
  <si>
    <t xml:space="preserve">理想价格偏离控制</t>
  </si>
  <si>
    <r>
      <rPr>
        <sz val="10"/>
        <rFont val="Arial"/>
        <family val="0"/>
        <charset val="1"/>
      </rPr>
      <t xml:space="preserve">MAN-</t>
    </r>
    <r>
      <rPr>
        <sz val="10"/>
        <rFont val="DejaVu Sans"/>
        <family val="2"/>
      </rPr>
      <t xml:space="preserve">市值管理策略</t>
    </r>
  </si>
  <si>
    <t xml:space="preserve">RISK-MAN-A001</t>
  </si>
  <si>
    <r>
      <rPr>
        <sz val="10"/>
        <rFont val="Arial"/>
        <family val="0"/>
        <charset val="1"/>
      </rPr>
      <t xml:space="preserve">exec_price </t>
    </r>
    <r>
      <rPr>
        <sz val="10"/>
        <rFont val="DejaVu Sans"/>
        <family val="2"/>
      </rPr>
      <t xml:space="preserve">偏离 </t>
    </r>
    <r>
      <rPr>
        <sz val="10"/>
        <rFont val="Arial"/>
        <family val="0"/>
        <charset val="1"/>
      </rPr>
      <t xml:space="preserve">ideal_price</t>
    </r>
  </si>
  <si>
    <t xml:space="preserve">价格恢复</t>
  </si>
  <si>
    <t xml:space="preserve">MAN-002</t>
  </si>
  <si>
    <t xml:space="preserve">操纵策略方向集中度控制</t>
  </si>
  <si>
    <t xml:space="preserve">RISK-MAN-A002</t>
  </si>
  <si>
    <r>
      <rPr>
        <sz val="10"/>
        <rFont val="DejaVu Sans"/>
        <family val="2"/>
      </rPr>
      <t xml:space="preserve">买卖比例 </t>
    </r>
    <r>
      <rPr>
        <sz val="10"/>
        <rFont val="Arial"/>
        <family val="0"/>
        <charset val="1"/>
      </rPr>
      <t xml:space="preserve">&gt; reverseTradeProbability</t>
    </r>
  </si>
  <si>
    <r>
      <rPr>
        <b val="true"/>
        <sz val="12"/>
        <color rgb="FF1F4E79"/>
        <rFont val="Arial"/>
        <family val="0"/>
        <charset val="1"/>
      </rPr>
      <t xml:space="preserve">▸ ACCDIS-</t>
    </r>
    <r>
      <rPr>
        <b val="true"/>
        <sz val="12"/>
        <color rgb="FF1F4E79"/>
        <rFont val="DejaVu Sans"/>
        <family val="2"/>
      </rPr>
      <t xml:space="preserve">吸筹出货</t>
    </r>
  </si>
  <si>
    <t xml:space="preserve">ACCDIS-001</t>
  </si>
  <si>
    <r>
      <rPr>
        <sz val="10"/>
        <rFont val="DejaVu Sans"/>
        <family val="2"/>
      </rPr>
      <t xml:space="preserve">周期累计成交总额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总量上限</t>
    </r>
  </si>
  <si>
    <r>
      <rPr>
        <sz val="10"/>
        <rFont val="Arial"/>
        <family val="0"/>
        <charset val="1"/>
      </rPr>
      <t xml:space="preserve">ACCDIS-</t>
    </r>
    <r>
      <rPr>
        <sz val="10"/>
        <rFont val="DejaVu Sans"/>
        <family val="2"/>
      </rPr>
      <t xml:space="preserve">吸筹出货</t>
    </r>
  </si>
  <si>
    <t xml:space="preserve">RISK-ACC/DIS-001</t>
  </si>
  <si>
    <r>
      <rPr>
        <sz val="10"/>
        <rFont val="Arial"/>
        <family val="0"/>
        <charset val="1"/>
      </rPr>
      <t xml:space="preserve">totalQuantity &gt; totalTradingAmount (</t>
    </r>
    <r>
      <rPr>
        <sz val="10"/>
        <rFont val="DejaVu Sans"/>
        <family val="2"/>
      </rPr>
      <t xml:space="preserve">计划总量</t>
    </r>
    <r>
      <rPr>
        <sz val="10"/>
        <rFont val="Arial"/>
        <family val="0"/>
        <charset val="1"/>
      </rPr>
      <t xml:space="preserve">)</t>
    </r>
  </si>
  <si>
    <t xml:space="preserve">ACCDIS-002</t>
  </si>
  <si>
    <t xml:space="preserve">策略价格带偏离检查</t>
  </si>
  <si>
    <t xml:space="preserve">RISK-ACC/DIS-002</t>
  </si>
  <si>
    <t xml:space="preserve">exec_price &gt; priceLimit</t>
  </si>
  <si>
    <t xml:space="preserve">汇总统计</t>
  </si>
  <si>
    <t xml:space="preserve">规则总数</t>
  </si>
  <si>
    <t xml:space="preserve">★收编规则数</t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</si>
  <si>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DejaVu Sans"/>
        <family val="2"/>
      </rPr>
      <t xml:space="preserve">规则数</t>
    </r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</si>
  <si>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DejaVu Sans"/>
        <family val="2"/>
      </rPr>
      <t xml:space="preserve">规则数</t>
    </r>
  </si>
  <si>
    <r>
      <rPr>
        <b val="true"/>
        <sz val="10"/>
        <rFont val="Arial"/>
        <family val="0"/>
        <charset val="1"/>
      </rPr>
      <t xml:space="preserve">P2 </t>
    </r>
    <r>
      <rPr>
        <b val="true"/>
        <sz val="10"/>
        <rFont val="DejaVu Sans"/>
        <family val="2"/>
      </rPr>
      <t xml:space="preserve">规则数</t>
    </r>
  </si>
  <si>
    <t xml:space="preserve">已确认</t>
  </si>
  <si>
    <t xml:space="preserve">待讨论</t>
  </si>
  <si>
    <t xml:space="preserve">决定删除</t>
  </si>
  <si>
    <t xml:space="preserve">决定调整</t>
  </si>
  <si>
    <t xml:space="preserve">需调整公式</t>
  </si>
  <si>
    <t xml:space="preserve">需调整阈值</t>
  </si>
  <si>
    <r>
      <rPr>
        <b val="true"/>
        <sz val="11"/>
        <color rgb="FFFFFFFF"/>
        <rFont val="DejaVu Sans"/>
        <family val="2"/>
      </rPr>
      <t xml:space="preserve">颜色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符号</t>
    </r>
  </si>
  <si>
    <t xml:space="preserve">含义</t>
  </si>
  <si>
    <t xml:space="preserve">交易员原始需求收编的规则，优先开发</t>
  </si>
  <si>
    <r>
      <rPr>
        <sz val="10"/>
        <rFont val="Arial"/>
        <family val="0"/>
        <charset val="1"/>
      </rPr>
      <t xml:space="preserve">P0 (</t>
    </r>
    <r>
      <rPr>
        <sz val="10"/>
        <rFont val="DejaVu Sans"/>
        <family val="2"/>
      </rPr>
      <t xml:space="preserve">粉红底色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</si>
  <si>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MVP </t>
    </r>
    <r>
      <rPr>
        <sz val="10"/>
        <rFont val="DejaVu Sans"/>
        <family val="2"/>
      </rPr>
      <t xml:space="preserve">必须实现，最高优先级</t>
    </r>
  </si>
  <si>
    <r>
      <rPr>
        <sz val="10"/>
        <rFont val="Arial"/>
        <family val="0"/>
        <charset val="1"/>
      </rPr>
      <t xml:space="preserve">P1 (</t>
    </r>
    <r>
      <rPr>
        <sz val="10"/>
        <rFont val="DejaVu Sans"/>
        <family val="2"/>
      </rPr>
      <t xml:space="preserve">黄色底色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</si>
  <si>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MVP </t>
    </r>
    <r>
      <rPr>
        <sz val="10"/>
        <rFont val="DejaVu Sans"/>
        <family val="2"/>
      </rPr>
      <t xml:space="preserve">重要，次高优先级</t>
    </r>
  </si>
  <si>
    <r>
      <rPr>
        <sz val="10"/>
        <rFont val="Arial"/>
        <family val="0"/>
        <charset val="1"/>
      </rPr>
      <t xml:space="preserve">P2 (</t>
    </r>
    <r>
      <rPr>
        <sz val="10"/>
        <rFont val="DejaVu Sans"/>
        <family val="2"/>
      </rPr>
      <t xml:space="preserve">绿色底色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</si>
  <si>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MVP </t>
    </r>
    <r>
      <rPr>
        <sz val="10"/>
        <rFont val="DejaVu Sans"/>
        <family val="2"/>
      </rPr>
      <t xml:space="preserve">范围内，标准优先级</t>
    </r>
  </si>
  <si>
    <t xml:space="preserve">紫色底色</t>
  </si>
  <si>
    <r>
      <rPr>
        <sz val="10"/>
        <rFont val="Arial"/>
        <family val="0"/>
        <charset val="1"/>
      </rPr>
      <t xml:space="preserve">POST-MVP </t>
    </r>
    <r>
      <rPr>
        <sz val="10"/>
        <rFont val="DejaVu Sans"/>
        <family val="2"/>
      </rPr>
      <t xml:space="preserve">规则，延后至 </t>
    </r>
    <r>
      <rPr>
        <sz val="10"/>
        <rFont val="Arial"/>
        <family val="0"/>
        <charset val="1"/>
      </rPr>
      <t xml:space="preserve">v1.0+</t>
    </r>
  </si>
  <si>
    <t xml:space="preserve">浅黄底色列</t>
  </si>
  <si>
    <t xml:space="preserve">审核人可编辑区域</t>
  </si>
  <si>
    <t xml:space="preserve">审核决定选项</t>
  </si>
  <si>
    <t xml:space="preserve">说明</t>
  </si>
  <si>
    <t xml:space="preserve">保留</t>
  </si>
  <si>
    <t xml:space="preserve">规则保持不变，确认纳入</t>
  </si>
  <si>
    <t xml:space="preserve">删除</t>
  </si>
  <si>
    <t xml:space="preserve">该规则不需要，建议删除</t>
  </si>
  <si>
    <t xml:space="preserve">调整</t>
  </si>
  <si>
    <t xml:space="preserve">规则需要修改（请在备注中说明）</t>
  </si>
  <si>
    <t xml:space="preserve">✅ 已确认</t>
  </si>
  <si>
    <t xml:space="preserve">审核完毕，无异议</t>
  </si>
  <si>
    <t xml:space="preserve">⏳ 待讨论</t>
  </si>
  <si>
    <t xml:space="preserve">需要进一步讨论</t>
  </si>
  <si>
    <t xml:space="preserve">❌ 拒绝</t>
  </si>
  <si>
    <t xml:space="preserve">不认可该规则</t>
  </si>
  <si>
    <t xml:space="preserve">类别排序说明</t>
  </si>
  <si>
    <r>
      <rPr>
        <sz val="10"/>
        <rFont val="Arial"/>
        <family val="0"/>
        <charset val="1"/>
      </rPr>
      <t xml:space="preserve">L-</t>
    </r>
    <r>
      <rPr>
        <sz val="10"/>
        <rFont val="DejaVu Sans"/>
        <family val="2"/>
      </rPr>
      <t xml:space="preserve">清算 → </t>
    </r>
    <r>
      <rPr>
        <sz val="10"/>
        <rFont val="Arial"/>
        <family val="0"/>
        <charset val="1"/>
      </rPr>
      <t xml:space="preserve">E-</t>
    </r>
    <r>
      <rPr>
        <sz val="10"/>
        <rFont val="DejaVu Sans"/>
        <family val="2"/>
      </rPr>
      <t xml:space="preserve">敞口 → </t>
    </r>
    <r>
      <rPr>
        <sz val="10"/>
        <rFont val="Arial"/>
        <family val="0"/>
        <charset val="1"/>
      </rPr>
      <t xml:space="preserve">S-</t>
    </r>
    <r>
      <rPr>
        <sz val="10"/>
        <rFont val="DejaVu Sans"/>
        <family val="2"/>
      </rPr>
      <t xml:space="preserve">系统 → </t>
    </r>
    <r>
      <rPr>
        <sz val="10"/>
        <rFont val="Arial"/>
        <family val="0"/>
        <charset val="1"/>
      </rPr>
      <t xml:space="preserve">M-</t>
    </r>
    <r>
      <rPr>
        <sz val="10"/>
        <rFont val="DejaVu Sans"/>
        <family val="2"/>
      </rPr>
      <t xml:space="preserve">市场 → </t>
    </r>
    <r>
      <rPr>
        <sz val="10"/>
        <rFont val="Arial"/>
        <family val="0"/>
        <charset val="1"/>
      </rPr>
      <t xml:space="preserve">B-</t>
    </r>
    <r>
      <rPr>
        <sz val="10"/>
        <rFont val="DejaVu Sans"/>
        <family val="2"/>
      </rPr>
      <t xml:space="preserve">行为 → </t>
    </r>
    <r>
      <rPr>
        <sz val="10"/>
        <rFont val="Arial"/>
        <family val="0"/>
        <charset val="1"/>
      </rPr>
      <t xml:space="preserve">C-</t>
    </r>
    <r>
      <rPr>
        <sz val="10"/>
        <rFont val="DejaVu Sans"/>
        <family val="2"/>
      </rPr>
      <t xml:space="preserve">合规 → </t>
    </r>
    <r>
      <rPr>
        <sz val="10"/>
        <rFont val="Arial"/>
        <family val="0"/>
        <charset val="1"/>
      </rPr>
      <t xml:space="preserve">P-</t>
    </r>
    <r>
      <rPr>
        <sz val="10"/>
        <rFont val="DejaVu Sans"/>
        <family val="2"/>
      </rPr>
      <t xml:space="preserve">权限 → </t>
    </r>
    <r>
      <rPr>
        <sz val="10"/>
        <rFont val="Arial"/>
        <family val="0"/>
        <charset val="1"/>
      </rPr>
      <t xml:space="preserve">BASE → </t>
    </r>
    <r>
      <rPr>
        <sz val="10"/>
        <rFont val="DejaVu Sans"/>
        <family val="2"/>
      </rPr>
      <t xml:space="preserve">策略</t>
    </r>
    <r>
      <rPr>
        <sz val="10"/>
        <rFont val="Arial"/>
        <family val="0"/>
        <charset val="1"/>
      </rPr>
      <t xml:space="preserve">(POST-MVP)</t>
    </r>
  </si>
  <si>
    <r>
      <rPr>
        <sz val="10"/>
        <rFont val="DejaVu Sans"/>
        <family val="2"/>
      </rPr>
      <t xml:space="preserve">系统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账户安全类在前，权限类靠后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</si>
</sst>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6"/>
      <color rgb="FF1F4E79"/>
      <name val="DejaVu Sans"/>
      <family val="2"/>
    </font>
    <font>
      <i val="true"/>
      <sz val="10"/>
      <color rgb="FF666666"/>
      <name val="DejaVu Sans"/>
      <family val="2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1F4E79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FF6600"/>
      <name val="Arial"/>
      <family val="0"/>
      <charset val="1"/>
    </font>
    <font>
      <b val="true"/>
      <sz val="10"/>
      <name val="DejaVu Sans"/>
      <family val="2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3E5F5"/>
      </patternFill>
    </fill>
    <fill>
      <patternFill patternType="solid">
        <fgColor rgb="FFFCE4EC"/>
        <bgColor rgb="FFF3E5F5"/>
      </patternFill>
    </fill>
    <fill>
      <patternFill patternType="solid">
        <fgColor rgb="FFFFFFEE"/>
        <bgColor rgb="FFFFFFFF"/>
      </patternFill>
    </fill>
    <fill>
      <patternFill patternType="solid">
        <fgColor rgb="FFFFF9C4"/>
        <bgColor rgb="FFFFFFEE"/>
      </patternFill>
    </fill>
    <fill>
      <patternFill patternType="solid">
        <fgColor rgb="FFE8F5E9"/>
        <bgColor rgb="FFF3E5F5"/>
      </patternFill>
    </fill>
    <fill>
      <patternFill patternType="solid">
        <fgColor rgb="FFF3E5F5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CCFFCC"/>
      <rgbColor rgb="FFFFFFEE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42"/>
    <col collapsed="false" customWidth="true" hidden="false" outlineLevel="0" max="11" min="10" style="0" width="28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7" min="15" style="0" width="10"/>
    <col collapsed="false" customWidth="true" hidden="false" outlineLevel="0" max="20" min="18" style="0" width="22"/>
    <col collapsed="false" customWidth="true" hidden="false" outlineLevel="0" max="21" min="21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25.5" hidden="false" customHeight="true" outlineLevel="0" collapsed="false">
      <c r="A4" s="4" t="s">
        <v>23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37.5" hidden="false" customHeight="true" outlineLevel="0" collapsed="false">
      <c r="A5" s="5" t="n">
        <v>1</v>
      </c>
      <c r="B5" s="5" t="s">
        <v>24</v>
      </c>
      <c r="C5" s="6" t="s">
        <v>25</v>
      </c>
      <c r="D5" s="7" t="s">
        <v>26</v>
      </c>
      <c r="E5" s="8" t="s">
        <v>27</v>
      </c>
      <c r="F5" s="5" t="s">
        <v>28</v>
      </c>
      <c r="G5" s="7" t="s">
        <v>29</v>
      </c>
      <c r="H5" s="5" t="s">
        <v>30</v>
      </c>
      <c r="I5" s="7" t="s">
        <v>31</v>
      </c>
      <c r="J5" s="7" t="s">
        <v>32</v>
      </c>
      <c r="K5" s="7" t="s">
        <v>33</v>
      </c>
      <c r="L5" s="7" t="s">
        <v>34</v>
      </c>
      <c r="M5" s="7" t="s">
        <v>35</v>
      </c>
      <c r="N5" s="9" t="s">
        <v>36</v>
      </c>
      <c r="O5" s="10"/>
      <c r="P5" s="10"/>
      <c r="Q5" s="10"/>
      <c r="R5" s="11"/>
      <c r="S5" s="11"/>
      <c r="T5" s="11"/>
      <c r="U5" s="10"/>
    </row>
    <row r="6" customFormat="false" ht="37.5" hidden="false" customHeight="true" outlineLevel="0" collapsed="false">
      <c r="A6" s="12" t="n">
        <v>2</v>
      </c>
      <c r="B6" s="12" t="s">
        <v>37</v>
      </c>
      <c r="C6" s="13" t="s">
        <v>38</v>
      </c>
      <c r="D6" s="13" t="s">
        <v>26</v>
      </c>
      <c r="E6" s="14" t="s">
        <v>27</v>
      </c>
      <c r="F6" s="12" t="s">
        <v>39</v>
      </c>
      <c r="G6" s="13" t="s">
        <v>40</v>
      </c>
      <c r="H6" s="12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35</v>
      </c>
      <c r="N6" s="15" t="s">
        <v>46</v>
      </c>
      <c r="O6" s="10"/>
      <c r="P6" s="10"/>
      <c r="Q6" s="10"/>
      <c r="R6" s="11"/>
      <c r="S6" s="11"/>
      <c r="T6" s="11"/>
      <c r="U6" s="10"/>
    </row>
    <row r="7" customFormat="false" ht="37.5" hidden="false" customHeight="true" outlineLevel="0" collapsed="false">
      <c r="A7" s="5" t="n">
        <v>3</v>
      </c>
      <c r="B7" s="5" t="s">
        <v>47</v>
      </c>
      <c r="C7" s="6" t="s">
        <v>48</v>
      </c>
      <c r="D7" s="7" t="s">
        <v>26</v>
      </c>
      <c r="E7" s="8" t="s">
        <v>27</v>
      </c>
      <c r="F7" s="5" t="s">
        <v>28</v>
      </c>
      <c r="G7" s="7" t="s">
        <v>49</v>
      </c>
      <c r="H7" s="5" t="s">
        <v>30</v>
      </c>
      <c r="I7" s="7" t="s">
        <v>50</v>
      </c>
      <c r="J7" s="7" t="s">
        <v>51</v>
      </c>
      <c r="K7" s="7" t="s">
        <v>52</v>
      </c>
      <c r="L7" s="6" t="s">
        <v>53</v>
      </c>
      <c r="M7" s="7" t="s">
        <v>35</v>
      </c>
      <c r="N7" s="9" t="s">
        <v>46</v>
      </c>
      <c r="O7" s="10"/>
      <c r="P7" s="10"/>
      <c r="Q7" s="10"/>
      <c r="R7" s="11"/>
      <c r="S7" s="11"/>
      <c r="T7" s="11"/>
      <c r="U7" s="10"/>
    </row>
    <row r="8" customFormat="false" ht="37.5" hidden="false" customHeight="true" outlineLevel="0" collapsed="false">
      <c r="A8" s="16" t="n">
        <v>4</v>
      </c>
      <c r="B8" s="16" t="s">
        <v>54</v>
      </c>
      <c r="C8" s="17" t="s">
        <v>55</v>
      </c>
      <c r="D8" s="18" t="s">
        <v>26</v>
      </c>
      <c r="E8" s="19" t="s">
        <v>27</v>
      </c>
      <c r="F8" s="16" t="s">
        <v>56</v>
      </c>
      <c r="G8" s="18" t="s">
        <v>57</v>
      </c>
      <c r="H8" s="16" t="s">
        <v>58</v>
      </c>
      <c r="I8" s="18" t="s">
        <v>59</v>
      </c>
      <c r="J8" s="17" t="s">
        <v>60</v>
      </c>
      <c r="K8" s="18" t="s">
        <v>61</v>
      </c>
      <c r="L8" s="18" t="s">
        <v>62</v>
      </c>
      <c r="M8" s="18" t="s">
        <v>35</v>
      </c>
      <c r="N8" s="20" t="s">
        <v>46</v>
      </c>
      <c r="O8" s="10"/>
      <c r="P8" s="10"/>
      <c r="Q8" s="10"/>
      <c r="R8" s="11"/>
      <c r="S8" s="11"/>
      <c r="T8" s="11"/>
      <c r="U8" s="10"/>
    </row>
    <row r="9" customFormat="false" ht="37.5" hidden="false" customHeight="true" outlineLevel="0" collapsed="false">
      <c r="A9" s="12" t="n">
        <v>5</v>
      </c>
      <c r="B9" s="12" t="s">
        <v>63</v>
      </c>
      <c r="C9" s="21" t="s">
        <v>64</v>
      </c>
      <c r="D9" s="13" t="s">
        <v>26</v>
      </c>
      <c r="E9" s="12"/>
      <c r="F9" s="12" t="s">
        <v>39</v>
      </c>
      <c r="G9" s="13" t="s">
        <v>65</v>
      </c>
      <c r="H9" s="12" t="s">
        <v>66</v>
      </c>
      <c r="I9" s="21" t="s">
        <v>67</v>
      </c>
      <c r="J9" s="21" t="s">
        <v>60</v>
      </c>
      <c r="K9" s="13" t="s">
        <v>68</v>
      </c>
      <c r="L9" s="21" t="s">
        <v>69</v>
      </c>
      <c r="M9" s="13" t="s">
        <v>35</v>
      </c>
      <c r="N9" s="15" t="s">
        <v>46</v>
      </c>
      <c r="O9" s="10"/>
      <c r="P9" s="10"/>
      <c r="Q9" s="10"/>
      <c r="R9" s="11"/>
      <c r="S9" s="11"/>
      <c r="T9" s="11"/>
      <c r="U9" s="10"/>
    </row>
    <row r="10" customFormat="false" ht="25.5" hidden="false" customHeight="true" outlineLevel="0" collapsed="false">
      <c r="A10" s="4" t="s">
        <v>70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customFormat="false" ht="37.5" hidden="false" customHeight="true" outlineLevel="0" collapsed="false">
      <c r="A11" s="16" t="n">
        <v>6</v>
      </c>
      <c r="B11" s="16" t="s">
        <v>71</v>
      </c>
      <c r="C11" s="17" t="s">
        <v>72</v>
      </c>
      <c r="D11" s="18" t="s">
        <v>73</v>
      </c>
      <c r="E11" s="19" t="s">
        <v>27</v>
      </c>
      <c r="F11" s="16" t="s">
        <v>56</v>
      </c>
      <c r="G11" s="18" t="s">
        <v>74</v>
      </c>
      <c r="H11" s="16" t="s">
        <v>66</v>
      </c>
      <c r="I11" s="18" t="s">
        <v>75</v>
      </c>
      <c r="J11" s="17" t="s">
        <v>60</v>
      </c>
      <c r="K11" s="18" t="s">
        <v>68</v>
      </c>
      <c r="L11" s="18" t="s">
        <v>76</v>
      </c>
      <c r="M11" s="18" t="s">
        <v>35</v>
      </c>
      <c r="N11" s="20" t="s">
        <v>36</v>
      </c>
      <c r="O11" s="10"/>
      <c r="P11" s="10"/>
      <c r="Q11" s="10"/>
      <c r="R11" s="11"/>
      <c r="S11" s="11"/>
      <c r="T11" s="11"/>
      <c r="U11" s="10"/>
    </row>
    <row r="12" customFormat="false" ht="37.5" hidden="false" customHeight="true" outlineLevel="0" collapsed="false">
      <c r="A12" s="12" t="n">
        <v>7</v>
      </c>
      <c r="B12" s="12" t="s">
        <v>77</v>
      </c>
      <c r="C12" s="21" t="s">
        <v>78</v>
      </c>
      <c r="D12" s="13" t="s">
        <v>73</v>
      </c>
      <c r="E12" s="14" t="s">
        <v>27</v>
      </c>
      <c r="F12" s="12" t="s">
        <v>39</v>
      </c>
      <c r="G12" s="13" t="s">
        <v>79</v>
      </c>
      <c r="H12" s="12" t="s">
        <v>58</v>
      </c>
      <c r="I12" s="13" t="s">
        <v>80</v>
      </c>
      <c r="J12" s="21" t="s">
        <v>81</v>
      </c>
      <c r="K12" s="21" t="s">
        <v>82</v>
      </c>
      <c r="L12" s="21" t="s">
        <v>83</v>
      </c>
      <c r="M12" s="13" t="s">
        <v>35</v>
      </c>
      <c r="N12" s="15" t="s">
        <v>46</v>
      </c>
      <c r="O12" s="10"/>
      <c r="P12" s="10"/>
      <c r="Q12" s="10"/>
      <c r="R12" s="11"/>
      <c r="S12" s="11"/>
      <c r="T12" s="11"/>
      <c r="U12" s="10"/>
    </row>
    <row r="13" customFormat="false" ht="37.5" hidden="false" customHeight="true" outlineLevel="0" collapsed="false">
      <c r="A13" s="16" t="n">
        <v>8</v>
      </c>
      <c r="B13" s="16" t="s">
        <v>84</v>
      </c>
      <c r="C13" s="17" t="s">
        <v>85</v>
      </c>
      <c r="D13" s="18" t="s">
        <v>73</v>
      </c>
      <c r="E13" s="19" t="s">
        <v>27</v>
      </c>
      <c r="F13" s="16" t="s">
        <v>56</v>
      </c>
      <c r="G13" s="18" t="s">
        <v>86</v>
      </c>
      <c r="H13" s="16" t="s">
        <v>58</v>
      </c>
      <c r="I13" s="18" t="s">
        <v>87</v>
      </c>
      <c r="J13" s="17" t="s">
        <v>60</v>
      </c>
      <c r="K13" s="18" t="s">
        <v>61</v>
      </c>
      <c r="L13" s="17" t="s">
        <v>88</v>
      </c>
      <c r="M13" s="18" t="s">
        <v>35</v>
      </c>
      <c r="N13" s="20" t="s">
        <v>46</v>
      </c>
      <c r="O13" s="10"/>
      <c r="P13" s="10"/>
      <c r="Q13" s="10"/>
      <c r="R13" s="11"/>
      <c r="S13" s="11"/>
      <c r="T13" s="11"/>
      <c r="U13" s="10"/>
    </row>
    <row r="14" customFormat="false" ht="37.5" hidden="false" customHeight="true" outlineLevel="0" collapsed="false">
      <c r="A14" s="12" t="n">
        <v>9</v>
      </c>
      <c r="B14" s="12" t="s">
        <v>89</v>
      </c>
      <c r="C14" s="21" t="s">
        <v>90</v>
      </c>
      <c r="D14" s="13" t="s">
        <v>73</v>
      </c>
      <c r="E14" s="14" t="s">
        <v>27</v>
      </c>
      <c r="F14" s="12" t="s">
        <v>39</v>
      </c>
      <c r="G14" s="13" t="s">
        <v>91</v>
      </c>
      <c r="H14" s="12" t="s">
        <v>66</v>
      </c>
      <c r="I14" s="13" t="s">
        <v>92</v>
      </c>
      <c r="J14" s="21" t="s">
        <v>93</v>
      </c>
      <c r="K14" s="13" t="s">
        <v>94</v>
      </c>
      <c r="L14" s="21" t="s">
        <v>95</v>
      </c>
      <c r="M14" s="13" t="s">
        <v>35</v>
      </c>
      <c r="N14" s="15" t="s">
        <v>46</v>
      </c>
      <c r="O14" s="10"/>
      <c r="P14" s="10"/>
      <c r="Q14" s="10"/>
      <c r="R14" s="11"/>
      <c r="S14" s="11"/>
      <c r="T14" s="11"/>
      <c r="U14" s="10"/>
    </row>
    <row r="15" customFormat="false" ht="37.5" hidden="false" customHeight="true" outlineLevel="0" collapsed="false">
      <c r="A15" s="16" t="n">
        <v>10</v>
      </c>
      <c r="B15" s="16" t="s">
        <v>96</v>
      </c>
      <c r="C15" s="17" t="s">
        <v>97</v>
      </c>
      <c r="D15" s="18" t="s">
        <v>73</v>
      </c>
      <c r="E15" s="19" t="s">
        <v>27</v>
      </c>
      <c r="F15" s="16" t="s">
        <v>56</v>
      </c>
      <c r="G15" s="18" t="s">
        <v>91</v>
      </c>
      <c r="H15" s="16" t="s">
        <v>66</v>
      </c>
      <c r="I15" s="18" t="s">
        <v>98</v>
      </c>
      <c r="J15" s="17" t="s">
        <v>60</v>
      </c>
      <c r="K15" s="18" t="s">
        <v>68</v>
      </c>
      <c r="L15" s="17" t="s">
        <v>99</v>
      </c>
      <c r="M15" s="18" t="s">
        <v>35</v>
      </c>
      <c r="N15" s="20" t="s">
        <v>46</v>
      </c>
      <c r="O15" s="10"/>
      <c r="P15" s="10"/>
      <c r="Q15" s="10"/>
      <c r="R15" s="11"/>
      <c r="S15" s="11"/>
      <c r="T15" s="11"/>
      <c r="U15" s="10"/>
    </row>
    <row r="16" customFormat="false" ht="37.5" hidden="false" customHeight="true" outlineLevel="0" collapsed="false">
      <c r="A16" s="12" t="n">
        <v>11</v>
      </c>
      <c r="B16" s="12" t="s">
        <v>100</v>
      </c>
      <c r="C16" s="21" t="s">
        <v>101</v>
      </c>
      <c r="D16" s="13" t="s">
        <v>73</v>
      </c>
      <c r="E16" s="14" t="s">
        <v>27</v>
      </c>
      <c r="F16" s="12" t="s">
        <v>39</v>
      </c>
      <c r="G16" s="13" t="s">
        <v>102</v>
      </c>
      <c r="H16" s="12" t="s">
        <v>66</v>
      </c>
      <c r="I16" s="13" t="s">
        <v>103</v>
      </c>
      <c r="J16" s="21" t="s">
        <v>104</v>
      </c>
      <c r="K16" s="13" t="s">
        <v>68</v>
      </c>
      <c r="L16" s="21" t="s">
        <v>105</v>
      </c>
      <c r="M16" s="13" t="s">
        <v>35</v>
      </c>
      <c r="N16" s="15" t="s">
        <v>46</v>
      </c>
      <c r="O16" s="10"/>
      <c r="P16" s="10"/>
      <c r="Q16" s="10"/>
      <c r="R16" s="11"/>
      <c r="S16" s="11"/>
      <c r="T16" s="11"/>
      <c r="U16" s="10"/>
    </row>
    <row r="17" customFormat="false" ht="37.5" hidden="false" customHeight="true" outlineLevel="0" collapsed="false">
      <c r="A17" s="16" t="n">
        <v>12</v>
      </c>
      <c r="B17" s="16" t="s">
        <v>106</v>
      </c>
      <c r="C17" s="17" t="s">
        <v>107</v>
      </c>
      <c r="D17" s="18" t="s">
        <v>73</v>
      </c>
      <c r="E17" s="19" t="s">
        <v>27</v>
      </c>
      <c r="F17" s="16" t="s">
        <v>56</v>
      </c>
      <c r="G17" s="18" t="s">
        <v>108</v>
      </c>
      <c r="H17" s="16" t="s">
        <v>58</v>
      </c>
      <c r="I17" s="18" t="s">
        <v>109</v>
      </c>
      <c r="J17" s="17" t="s">
        <v>60</v>
      </c>
      <c r="K17" s="18" t="s">
        <v>61</v>
      </c>
      <c r="L17" s="17" t="s">
        <v>110</v>
      </c>
      <c r="M17" s="18" t="s">
        <v>35</v>
      </c>
      <c r="N17" s="20" t="s">
        <v>46</v>
      </c>
      <c r="O17" s="10"/>
      <c r="P17" s="10"/>
      <c r="Q17" s="10"/>
      <c r="R17" s="11"/>
      <c r="S17" s="11"/>
      <c r="T17" s="11"/>
      <c r="U17" s="10"/>
    </row>
    <row r="18" customFormat="false" ht="37.5" hidden="false" customHeight="true" outlineLevel="0" collapsed="false">
      <c r="A18" s="16" t="n">
        <v>13</v>
      </c>
      <c r="B18" s="16" t="s">
        <v>111</v>
      </c>
      <c r="C18" s="17" t="s">
        <v>112</v>
      </c>
      <c r="D18" s="18" t="s">
        <v>73</v>
      </c>
      <c r="E18" s="16"/>
      <c r="F18" s="16" t="s">
        <v>56</v>
      </c>
      <c r="G18" s="18" t="s">
        <v>65</v>
      </c>
      <c r="H18" s="16" t="s">
        <v>58</v>
      </c>
      <c r="I18" s="18" t="s">
        <v>113</v>
      </c>
      <c r="J18" s="17" t="s">
        <v>60</v>
      </c>
      <c r="K18" s="18" t="s">
        <v>61</v>
      </c>
      <c r="L18" s="17" t="s">
        <v>114</v>
      </c>
      <c r="M18" s="18" t="s">
        <v>35</v>
      </c>
      <c r="N18" s="20" t="s">
        <v>46</v>
      </c>
      <c r="O18" s="10"/>
      <c r="P18" s="10"/>
      <c r="Q18" s="10"/>
      <c r="R18" s="11"/>
      <c r="S18" s="11"/>
      <c r="T18" s="11"/>
      <c r="U18" s="10"/>
    </row>
    <row r="19" customFormat="false" ht="37.5" hidden="false" customHeight="true" outlineLevel="0" collapsed="false">
      <c r="A19" s="16" t="n">
        <v>14</v>
      </c>
      <c r="B19" s="16" t="s">
        <v>115</v>
      </c>
      <c r="C19" s="17" t="s">
        <v>116</v>
      </c>
      <c r="D19" s="18" t="s">
        <v>73</v>
      </c>
      <c r="E19" s="16"/>
      <c r="F19" s="16" t="s">
        <v>56</v>
      </c>
      <c r="G19" s="18" t="s">
        <v>65</v>
      </c>
      <c r="H19" s="16" t="s">
        <v>66</v>
      </c>
      <c r="I19" s="18" t="s">
        <v>117</v>
      </c>
      <c r="J19" s="17" t="s">
        <v>60</v>
      </c>
      <c r="K19" s="18" t="s">
        <v>118</v>
      </c>
      <c r="L19" s="17" t="s">
        <v>119</v>
      </c>
      <c r="M19" s="18" t="s">
        <v>35</v>
      </c>
      <c r="N19" s="20" t="s">
        <v>46</v>
      </c>
      <c r="O19" s="10"/>
      <c r="P19" s="10"/>
      <c r="Q19" s="10"/>
      <c r="R19" s="11"/>
      <c r="S19" s="11"/>
      <c r="T19" s="11"/>
      <c r="U19" s="10"/>
    </row>
    <row r="20" customFormat="false" ht="37.5" hidden="false" customHeight="true" outlineLevel="0" collapsed="false">
      <c r="A20" s="16" t="n">
        <v>15</v>
      </c>
      <c r="B20" s="16" t="s">
        <v>120</v>
      </c>
      <c r="C20" s="18" t="s">
        <v>121</v>
      </c>
      <c r="D20" s="18" t="s">
        <v>73</v>
      </c>
      <c r="E20" s="16"/>
      <c r="F20" s="16" t="s">
        <v>56</v>
      </c>
      <c r="G20" s="18" t="s">
        <v>65</v>
      </c>
      <c r="H20" s="16" t="s">
        <v>58</v>
      </c>
      <c r="I20" s="17" t="s">
        <v>122</v>
      </c>
      <c r="J20" s="17" t="s">
        <v>60</v>
      </c>
      <c r="K20" s="18" t="s">
        <v>61</v>
      </c>
      <c r="L20" s="18" t="s">
        <v>123</v>
      </c>
      <c r="M20" s="18" t="s">
        <v>35</v>
      </c>
      <c r="N20" s="20" t="s">
        <v>46</v>
      </c>
      <c r="O20" s="10"/>
      <c r="P20" s="10"/>
      <c r="Q20" s="10"/>
      <c r="R20" s="11"/>
      <c r="S20" s="11"/>
      <c r="T20" s="11"/>
      <c r="U20" s="10"/>
    </row>
    <row r="21" customFormat="false" ht="37.5" hidden="false" customHeight="true" outlineLevel="0" collapsed="false">
      <c r="A21" s="16" t="n">
        <v>16</v>
      </c>
      <c r="B21" s="16" t="s">
        <v>124</v>
      </c>
      <c r="C21" s="17" t="s">
        <v>125</v>
      </c>
      <c r="D21" s="18" t="s">
        <v>73</v>
      </c>
      <c r="E21" s="16"/>
      <c r="F21" s="16" t="s">
        <v>56</v>
      </c>
      <c r="G21" s="18" t="s">
        <v>65</v>
      </c>
      <c r="H21" s="16" t="s">
        <v>58</v>
      </c>
      <c r="I21" s="17" t="s">
        <v>126</v>
      </c>
      <c r="J21" s="17" t="s">
        <v>60</v>
      </c>
      <c r="K21" s="18" t="s">
        <v>61</v>
      </c>
      <c r="L21" s="17" t="s">
        <v>127</v>
      </c>
      <c r="M21" s="18" t="s">
        <v>35</v>
      </c>
      <c r="N21" s="20" t="s">
        <v>46</v>
      </c>
      <c r="O21" s="10"/>
      <c r="P21" s="10"/>
      <c r="Q21" s="10"/>
      <c r="R21" s="11"/>
      <c r="S21" s="11"/>
      <c r="T21" s="11"/>
      <c r="U21" s="10"/>
    </row>
    <row r="22" customFormat="false" ht="37.5" hidden="false" customHeight="true" outlineLevel="0" collapsed="false">
      <c r="A22" s="16" t="n">
        <v>17</v>
      </c>
      <c r="B22" s="16" t="s">
        <v>128</v>
      </c>
      <c r="C22" s="17" t="s">
        <v>129</v>
      </c>
      <c r="D22" s="18" t="s">
        <v>73</v>
      </c>
      <c r="E22" s="16"/>
      <c r="F22" s="16" t="s">
        <v>56</v>
      </c>
      <c r="G22" s="18" t="s">
        <v>65</v>
      </c>
      <c r="H22" s="16" t="s">
        <v>58</v>
      </c>
      <c r="I22" s="18" t="s">
        <v>130</v>
      </c>
      <c r="J22" s="17" t="s">
        <v>60</v>
      </c>
      <c r="K22" s="18" t="s">
        <v>61</v>
      </c>
      <c r="L22" s="17" t="s">
        <v>131</v>
      </c>
      <c r="M22" s="18" t="s">
        <v>35</v>
      </c>
      <c r="N22" s="20" t="s">
        <v>46</v>
      </c>
      <c r="O22" s="10"/>
      <c r="P22" s="10"/>
      <c r="Q22" s="10"/>
      <c r="R22" s="11"/>
      <c r="S22" s="11"/>
      <c r="T22" s="11"/>
      <c r="U22" s="10"/>
    </row>
    <row r="23" customFormat="false" ht="25.5" hidden="false" customHeight="true" outlineLevel="0" collapsed="false">
      <c r="A23" s="4" t="s">
        <v>132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customFormat="false" ht="37.5" hidden="false" customHeight="true" outlineLevel="0" collapsed="false">
      <c r="A24" s="5" t="n">
        <v>18</v>
      </c>
      <c r="B24" s="5" t="s">
        <v>133</v>
      </c>
      <c r="C24" s="6" t="s">
        <v>134</v>
      </c>
      <c r="D24" s="7" t="s">
        <v>135</v>
      </c>
      <c r="E24" s="8" t="s">
        <v>27</v>
      </c>
      <c r="F24" s="5" t="s">
        <v>28</v>
      </c>
      <c r="G24" s="7" t="s">
        <v>136</v>
      </c>
      <c r="H24" s="5" t="s">
        <v>30</v>
      </c>
      <c r="I24" s="7" t="s">
        <v>137</v>
      </c>
      <c r="J24" s="6" t="s">
        <v>138</v>
      </c>
      <c r="K24" s="7" t="s">
        <v>139</v>
      </c>
      <c r="L24" s="7" t="s">
        <v>140</v>
      </c>
      <c r="M24" s="7" t="s">
        <v>35</v>
      </c>
      <c r="N24" s="9" t="s">
        <v>46</v>
      </c>
      <c r="O24" s="10"/>
      <c r="P24" s="10"/>
      <c r="Q24" s="10"/>
      <c r="R24" s="11"/>
      <c r="S24" s="11"/>
      <c r="T24" s="11"/>
      <c r="U24" s="10"/>
    </row>
    <row r="25" customFormat="false" ht="37.5" hidden="false" customHeight="true" outlineLevel="0" collapsed="false">
      <c r="A25" s="5" t="n">
        <v>19</v>
      </c>
      <c r="B25" s="5" t="s">
        <v>141</v>
      </c>
      <c r="C25" s="6" t="s">
        <v>142</v>
      </c>
      <c r="D25" s="7" t="s">
        <v>135</v>
      </c>
      <c r="E25" s="8" t="s">
        <v>27</v>
      </c>
      <c r="F25" s="5" t="s">
        <v>28</v>
      </c>
      <c r="G25" s="7" t="s">
        <v>136</v>
      </c>
      <c r="H25" s="5" t="s">
        <v>143</v>
      </c>
      <c r="I25" s="6" t="s">
        <v>144</v>
      </c>
      <c r="J25" s="6" t="s">
        <v>60</v>
      </c>
      <c r="K25" s="7" t="s">
        <v>145</v>
      </c>
      <c r="L25" s="6" t="s">
        <v>146</v>
      </c>
      <c r="M25" s="7" t="s">
        <v>35</v>
      </c>
      <c r="N25" s="9" t="s">
        <v>147</v>
      </c>
      <c r="O25" s="10"/>
      <c r="P25" s="10"/>
      <c r="Q25" s="10"/>
      <c r="R25" s="11"/>
      <c r="S25" s="11"/>
      <c r="T25" s="11"/>
      <c r="U25" s="10"/>
    </row>
    <row r="26" customFormat="false" ht="37.5" hidden="false" customHeight="true" outlineLevel="0" collapsed="false">
      <c r="A26" s="12" t="n">
        <v>20</v>
      </c>
      <c r="B26" s="12" t="s">
        <v>148</v>
      </c>
      <c r="C26" s="13" t="s">
        <v>149</v>
      </c>
      <c r="D26" s="13" t="s">
        <v>135</v>
      </c>
      <c r="E26" s="14" t="s">
        <v>27</v>
      </c>
      <c r="F26" s="12" t="s">
        <v>39</v>
      </c>
      <c r="G26" s="13" t="s">
        <v>136</v>
      </c>
      <c r="H26" s="12" t="s">
        <v>66</v>
      </c>
      <c r="I26" s="13" t="s">
        <v>150</v>
      </c>
      <c r="J26" s="21" t="s">
        <v>151</v>
      </c>
      <c r="K26" s="13" t="s">
        <v>152</v>
      </c>
      <c r="L26" s="21" t="s">
        <v>114</v>
      </c>
      <c r="M26" s="13" t="s">
        <v>35</v>
      </c>
      <c r="N26" s="15" t="s">
        <v>46</v>
      </c>
      <c r="O26" s="10"/>
      <c r="P26" s="10"/>
      <c r="Q26" s="10"/>
      <c r="R26" s="11"/>
      <c r="S26" s="11"/>
      <c r="T26" s="11"/>
      <c r="U26" s="10"/>
    </row>
    <row r="27" customFormat="false" ht="37.5" hidden="false" customHeight="true" outlineLevel="0" collapsed="false">
      <c r="A27" s="5" t="n">
        <v>21</v>
      </c>
      <c r="B27" s="5" t="s">
        <v>153</v>
      </c>
      <c r="C27" s="6" t="s">
        <v>154</v>
      </c>
      <c r="D27" s="7" t="s">
        <v>135</v>
      </c>
      <c r="E27" s="8" t="s">
        <v>27</v>
      </c>
      <c r="F27" s="5" t="s">
        <v>28</v>
      </c>
      <c r="G27" s="7" t="s">
        <v>136</v>
      </c>
      <c r="H27" s="5" t="s">
        <v>143</v>
      </c>
      <c r="I27" s="7" t="s">
        <v>155</v>
      </c>
      <c r="J27" s="6" t="s">
        <v>156</v>
      </c>
      <c r="K27" s="7" t="s">
        <v>157</v>
      </c>
      <c r="L27" s="6" t="s">
        <v>158</v>
      </c>
      <c r="M27" s="7" t="s">
        <v>35</v>
      </c>
      <c r="N27" s="9" t="s">
        <v>159</v>
      </c>
      <c r="O27" s="10"/>
      <c r="P27" s="10"/>
      <c r="Q27" s="10"/>
      <c r="R27" s="11"/>
      <c r="S27" s="11"/>
      <c r="T27" s="11"/>
      <c r="U27" s="10"/>
    </row>
    <row r="28" customFormat="false" ht="37.5" hidden="false" customHeight="true" outlineLevel="0" collapsed="false">
      <c r="A28" s="5" t="n">
        <v>22</v>
      </c>
      <c r="B28" s="5" t="s">
        <v>160</v>
      </c>
      <c r="C28" s="6" t="s">
        <v>161</v>
      </c>
      <c r="D28" s="7" t="s">
        <v>135</v>
      </c>
      <c r="E28" s="8" t="s">
        <v>27</v>
      </c>
      <c r="F28" s="5" t="s">
        <v>28</v>
      </c>
      <c r="G28" s="7" t="s">
        <v>136</v>
      </c>
      <c r="H28" s="5" t="s">
        <v>30</v>
      </c>
      <c r="I28" s="7" t="s">
        <v>162</v>
      </c>
      <c r="J28" s="6" t="s">
        <v>163</v>
      </c>
      <c r="K28" s="7" t="s">
        <v>164</v>
      </c>
      <c r="L28" s="6" t="s">
        <v>165</v>
      </c>
      <c r="M28" s="7" t="s">
        <v>35</v>
      </c>
      <c r="N28" s="9" t="s">
        <v>159</v>
      </c>
      <c r="O28" s="10"/>
      <c r="P28" s="10"/>
      <c r="Q28" s="10"/>
      <c r="R28" s="11"/>
      <c r="S28" s="11"/>
      <c r="T28" s="11"/>
      <c r="U28" s="10"/>
    </row>
    <row r="29" customFormat="false" ht="37.5" hidden="false" customHeight="true" outlineLevel="0" collapsed="false">
      <c r="A29" s="16" t="n">
        <v>23</v>
      </c>
      <c r="B29" s="16" t="s">
        <v>166</v>
      </c>
      <c r="C29" s="17" t="s">
        <v>167</v>
      </c>
      <c r="D29" s="18" t="s">
        <v>135</v>
      </c>
      <c r="E29" s="16"/>
      <c r="F29" s="16" t="s">
        <v>56</v>
      </c>
      <c r="G29" s="18" t="s">
        <v>65</v>
      </c>
      <c r="H29" s="16" t="s">
        <v>58</v>
      </c>
      <c r="I29" s="17" t="s">
        <v>168</v>
      </c>
      <c r="J29" s="17" t="s">
        <v>60</v>
      </c>
      <c r="K29" s="18" t="s">
        <v>61</v>
      </c>
      <c r="L29" s="17" t="s">
        <v>169</v>
      </c>
      <c r="M29" s="18" t="s">
        <v>35</v>
      </c>
      <c r="N29" s="20" t="s">
        <v>36</v>
      </c>
      <c r="O29" s="10"/>
      <c r="P29" s="10"/>
      <c r="Q29" s="10"/>
      <c r="R29" s="11"/>
      <c r="S29" s="11"/>
      <c r="T29" s="11"/>
      <c r="U29" s="10"/>
    </row>
    <row r="30" customFormat="false" ht="37.5" hidden="false" customHeight="true" outlineLevel="0" collapsed="false">
      <c r="A30" s="16" t="n">
        <v>24</v>
      </c>
      <c r="B30" s="16" t="s">
        <v>170</v>
      </c>
      <c r="C30" s="17" t="s">
        <v>171</v>
      </c>
      <c r="D30" s="18" t="s">
        <v>135</v>
      </c>
      <c r="E30" s="16"/>
      <c r="F30" s="16" t="s">
        <v>56</v>
      </c>
      <c r="G30" s="18" t="s">
        <v>65</v>
      </c>
      <c r="H30" s="16" t="s">
        <v>58</v>
      </c>
      <c r="I30" s="18" t="s">
        <v>172</v>
      </c>
      <c r="J30" s="17" t="s">
        <v>60</v>
      </c>
      <c r="K30" s="18" t="s">
        <v>61</v>
      </c>
      <c r="L30" s="17" t="s">
        <v>173</v>
      </c>
      <c r="M30" s="18" t="s">
        <v>35</v>
      </c>
      <c r="N30" s="20" t="s">
        <v>46</v>
      </c>
      <c r="O30" s="10"/>
      <c r="P30" s="10"/>
      <c r="Q30" s="10"/>
      <c r="R30" s="11"/>
      <c r="S30" s="11"/>
      <c r="T30" s="11"/>
      <c r="U30" s="10"/>
    </row>
    <row r="31" customFormat="false" ht="37.5" hidden="false" customHeight="true" outlineLevel="0" collapsed="false">
      <c r="A31" s="12" t="n">
        <v>25</v>
      </c>
      <c r="B31" s="12" t="s">
        <v>174</v>
      </c>
      <c r="C31" s="21" t="s">
        <v>175</v>
      </c>
      <c r="D31" s="13" t="s">
        <v>135</v>
      </c>
      <c r="E31" s="12"/>
      <c r="F31" s="12" t="s">
        <v>39</v>
      </c>
      <c r="G31" s="13" t="s">
        <v>65</v>
      </c>
      <c r="H31" s="12" t="s">
        <v>66</v>
      </c>
      <c r="I31" s="13" t="s">
        <v>176</v>
      </c>
      <c r="J31" s="21" t="s">
        <v>60</v>
      </c>
      <c r="K31" s="13" t="s">
        <v>68</v>
      </c>
      <c r="L31" s="21" t="s">
        <v>177</v>
      </c>
      <c r="M31" s="13" t="s">
        <v>35</v>
      </c>
      <c r="N31" s="15" t="s">
        <v>46</v>
      </c>
      <c r="O31" s="10"/>
      <c r="P31" s="10"/>
      <c r="Q31" s="10"/>
      <c r="R31" s="11"/>
      <c r="S31" s="11"/>
      <c r="T31" s="11"/>
      <c r="U31" s="10"/>
    </row>
    <row r="32" customFormat="false" ht="37.5" hidden="false" customHeight="true" outlineLevel="0" collapsed="false">
      <c r="A32" s="5" t="n">
        <v>26</v>
      </c>
      <c r="B32" s="5" t="s">
        <v>178</v>
      </c>
      <c r="C32" s="7" t="s">
        <v>179</v>
      </c>
      <c r="D32" s="7" t="s">
        <v>135</v>
      </c>
      <c r="E32" s="5"/>
      <c r="F32" s="5" t="s">
        <v>28</v>
      </c>
      <c r="G32" s="7" t="s">
        <v>65</v>
      </c>
      <c r="H32" s="5" t="s">
        <v>143</v>
      </c>
      <c r="I32" s="6" t="s">
        <v>180</v>
      </c>
      <c r="J32" s="6" t="s">
        <v>60</v>
      </c>
      <c r="K32" s="7" t="s">
        <v>181</v>
      </c>
      <c r="L32" s="6" t="s">
        <v>182</v>
      </c>
      <c r="M32" s="7" t="s">
        <v>35</v>
      </c>
      <c r="N32" s="9" t="s">
        <v>46</v>
      </c>
      <c r="O32" s="10"/>
      <c r="P32" s="10"/>
      <c r="Q32" s="10"/>
      <c r="R32" s="11"/>
      <c r="S32" s="11"/>
      <c r="T32" s="11"/>
      <c r="U32" s="10"/>
    </row>
    <row r="33" customFormat="false" ht="37.5" hidden="false" customHeight="true" outlineLevel="0" collapsed="false">
      <c r="A33" s="12" t="n">
        <v>27</v>
      </c>
      <c r="B33" s="12" t="s">
        <v>183</v>
      </c>
      <c r="C33" s="21" t="s">
        <v>184</v>
      </c>
      <c r="D33" s="13" t="s">
        <v>135</v>
      </c>
      <c r="E33" s="12"/>
      <c r="F33" s="12" t="s">
        <v>39</v>
      </c>
      <c r="G33" s="13" t="s">
        <v>65</v>
      </c>
      <c r="H33" s="12" t="s">
        <v>66</v>
      </c>
      <c r="I33" s="21" t="s">
        <v>185</v>
      </c>
      <c r="J33" s="21" t="s">
        <v>60</v>
      </c>
      <c r="K33" s="13" t="s">
        <v>186</v>
      </c>
      <c r="L33" s="21" t="s">
        <v>187</v>
      </c>
      <c r="M33" s="13" t="s">
        <v>35</v>
      </c>
      <c r="N33" s="15" t="s">
        <v>46</v>
      </c>
      <c r="O33" s="10"/>
      <c r="P33" s="10"/>
      <c r="Q33" s="10"/>
      <c r="R33" s="11"/>
      <c r="S33" s="11"/>
      <c r="T33" s="11"/>
      <c r="U33" s="10"/>
    </row>
    <row r="34" customFormat="false" ht="37.5" hidden="false" customHeight="true" outlineLevel="0" collapsed="false">
      <c r="A34" s="12" t="n">
        <v>28</v>
      </c>
      <c r="B34" s="12" t="s">
        <v>188</v>
      </c>
      <c r="C34" s="21" t="s">
        <v>189</v>
      </c>
      <c r="D34" s="13" t="s">
        <v>135</v>
      </c>
      <c r="E34" s="12"/>
      <c r="F34" s="12" t="s">
        <v>39</v>
      </c>
      <c r="G34" s="13" t="s">
        <v>65</v>
      </c>
      <c r="H34" s="12" t="s">
        <v>66</v>
      </c>
      <c r="I34" s="21" t="s">
        <v>190</v>
      </c>
      <c r="J34" s="21" t="s">
        <v>60</v>
      </c>
      <c r="K34" s="13" t="s">
        <v>68</v>
      </c>
      <c r="L34" s="21" t="s">
        <v>191</v>
      </c>
      <c r="M34" s="13" t="s">
        <v>35</v>
      </c>
      <c r="N34" s="15" t="s">
        <v>46</v>
      </c>
      <c r="O34" s="10"/>
      <c r="P34" s="10"/>
      <c r="Q34" s="10"/>
      <c r="R34" s="11"/>
      <c r="S34" s="11"/>
      <c r="T34" s="11"/>
      <c r="U34" s="10"/>
    </row>
    <row r="35" customFormat="false" ht="37.5" hidden="false" customHeight="true" outlineLevel="0" collapsed="false">
      <c r="A35" s="16" t="n">
        <v>29</v>
      </c>
      <c r="B35" s="16" t="s">
        <v>192</v>
      </c>
      <c r="C35" s="17" t="s">
        <v>193</v>
      </c>
      <c r="D35" s="18" t="s">
        <v>135</v>
      </c>
      <c r="E35" s="16"/>
      <c r="F35" s="16" t="s">
        <v>56</v>
      </c>
      <c r="G35" s="18" t="s">
        <v>65</v>
      </c>
      <c r="H35" s="16" t="s">
        <v>58</v>
      </c>
      <c r="I35" s="17" t="s">
        <v>194</v>
      </c>
      <c r="J35" s="17" t="s">
        <v>60</v>
      </c>
      <c r="K35" s="18" t="s">
        <v>61</v>
      </c>
      <c r="L35" s="17" t="s">
        <v>195</v>
      </c>
      <c r="M35" s="18" t="s">
        <v>35</v>
      </c>
      <c r="N35" s="20" t="s">
        <v>46</v>
      </c>
      <c r="O35" s="10"/>
      <c r="P35" s="10"/>
      <c r="Q35" s="10"/>
      <c r="R35" s="11"/>
      <c r="S35" s="11"/>
      <c r="T35" s="11"/>
      <c r="U35" s="10"/>
    </row>
    <row r="36" customFormat="false" ht="37.5" hidden="false" customHeight="true" outlineLevel="0" collapsed="false">
      <c r="A36" s="12" t="n">
        <v>30</v>
      </c>
      <c r="B36" s="12" t="s">
        <v>196</v>
      </c>
      <c r="C36" s="13" t="s">
        <v>197</v>
      </c>
      <c r="D36" s="13" t="s">
        <v>135</v>
      </c>
      <c r="E36" s="12"/>
      <c r="F36" s="12" t="s">
        <v>39</v>
      </c>
      <c r="G36" s="13" t="s">
        <v>65</v>
      </c>
      <c r="H36" s="12" t="s">
        <v>66</v>
      </c>
      <c r="I36" s="13" t="s">
        <v>198</v>
      </c>
      <c r="J36" s="21" t="s">
        <v>60</v>
      </c>
      <c r="K36" s="13" t="s">
        <v>68</v>
      </c>
      <c r="L36" s="21" t="s">
        <v>199</v>
      </c>
      <c r="M36" s="13" t="s">
        <v>35</v>
      </c>
      <c r="N36" s="15" t="s">
        <v>46</v>
      </c>
      <c r="O36" s="10"/>
      <c r="P36" s="10"/>
      <c r="Q36" s="10"/>
      <c r="R36" s="11"/>
      <c r="S36" s="11"/>
      <c r="T36" s="11"/>
      <c r="U36" s="10"/>
    </row>
    <row r="37" customFormat="false" ht="25.5" hidden="false" customHeight="true" outlineLevel="0" collapsed="false">
      <c r="A37" s="4" t="s">
        <v>200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customFormat="false" ht="37.5" hidden="false" customHeight="true" outlineLevel="0" collapsed="false">
      <c r="A38" s="16" t="n">
        <v>31</v>
      </c>
      <c r="B38" s="16" t="s">
        <v>201</v>
      </c>
      <c r="C38" s="17" t="s">
        <v>202</v>
      </c>
      <c r="D38" s="18" t="s">
        <v>203</v>
      </c>
      <c r="E38" s="19" t="s">
        <v>27</v>
      </c>
      <c r="F38" s="16" t="s">
        <v>56</v>
      </c>
      <c r="G38" s="18" t="s">
        <v>204</v>
      </c>
      <c r="H38" s="16" t="s">
        <v>58</v>
      </c>
      <c r="I38" s="18" t="s">
        <v>205</v>
      </c>
      <c r="J38" s="17" t="s">
        <v>206</v>
      </c>
      <c r="K38" s="18" t="s">
        <v>61</v>
      </c>
      <c r="L38" s="17" t="s">
        <v>207</v>
      </c>
      <c r="M38" s="18" t="s">
        <v>35</v>
      </c>
      <c r="N38" s="20" t="s">
        <v>46</v>
      </c>
      <c r="O38" s="10"/>
      <c r="P38" s="10"/>
      <c r="Q38" s="10"/>
      <c r="R38" s="11"/>
      <c r="S38" s="11"/>
      <c r="T38" s="11"/>
      <c r="U38" s="10"/>
    </row>
    <row r="39" customFormat="false" ht="37.5" hidden="false" customHeight="true" outlineLevel="0" collapsed="false">
      <c r="A39" s="16" t="n">
        <v>32</v>
      </c>
      <c r="B39" s="16" t="s">
        <v>208</v>
      </c>
      <c r="C39" s="17" t="s">
        <v>209</v>
      </c>
      <c r="D39" s="18" t="s">
        <v>203</v>
      </c>
      <c r="E39" s="19" t="s">
        <v>27</v>
      </c>
      <c r="F39" s="16" t="s">
        <v>56</v>
      </c>
      <c r="G39" s="18" t="s">
        <v>136</v>
      </c>
      <c r="H39" s="16" t="s">
        <v>58</v>
      </c>
      <c r="I39" s="18" t="s">
        <v>210</v>
      </c>
      <c r="J39" s="17" t="s">
        <v>60</v>
      </c>
      <c r="K39" s="18" t="s">
        <v>61</v>
      </c>
      <c r="L39" s="17" t="s">
        <v>211</v>
      </c>
      <c r="M39" s="18" t="s">
        <v>35</v>
      </c>
      <c r="N39" s="20" t="s">
        <v>46</v>
      </c>
      <c r="O39" s="10"/>
      <c r="P39" s="10"/>
      <c r="Q39" s="10"/>
      <c r="R39" s="11"/>
      <c r="S39" s="11"/>
      <c r="T39" s="11"/>
      <c r="U39" s="10"/>
    </row>
    <row r="40" customFormat="false" ht="37.5" hidden="false" customHeight="true" outlineLevel="0" collapsed="false">
      <c r="A40" s="16" t="n">
        <v>33</v>
      </c>
      <c r="B40" s="16" t="s">
        <v>212</v>
      </c>
      <c r="C40" s="17" t="s">
        <v>213</v>
      </c>
      <c r="D40" s="18" t="s">
        <v>203</v>
      </c>
      <c r="E40" s="19" t="s">
        <v>27</v>
      </c>
      <c r="F40" s="16" t="s">
        <v>56</v>
      </c>
      <c r="G40" s="18" t="s">
        <v>204</v>
      </c>
      <c r="H40" s="16" t="s">
        <v>58</v>
      </c>
      <c r="I40" s="17" t="s">
        <v>214</v>
      </c>
      <c r="J40" s="17" t="s">
        <v>60</v>
      </c>
      <c r="K40" s="18" t="s">
        <v>215</v>
      </c>
      <c r="L40" s="17" t="s">
        <v>216</v>
      </c>
      <c r="M40" s="18" t="s">
        <v>35</v>
      </c>
      <c r="N40" s="20" t="s">
        <v>46</v>
      </c>
      <c r="O40" s="10"/>
      <c r="P40" s="10"/>
      <c r="Q40" s="10"/>
      <c r="R40" s="11"/>
      <c r="S40" s="11"/>
      <c r="T40" s="11"/>
      <c r="U40" s="10"/>
    </row>
    <row r="41" customFormat="false" ht="37.5" hidden="false" customHeight="true" outlineLevel="0" collapsed="false">
      <c r="A41" s="16" t="n">
        <v>34</v>
      </c>
      <c r="B41" s="16" t="s">
        <v>217</v>
      </c>
      <c r="C41" s="17" t="s">
        <v>218</v>
      </c>
      <c r="D41" s="18" t="s">
        <v>203</v>
      </c>
      <c r="E41" s="19" t="s">
        <v>27</v>
      </c>
      <c r="F41" s="16" t="s">
        <v>56</v>
      </c>
      <c r="G41" s="18" t="s">
        <v>219</v>
      </c>
      <c r="H41" s="16" t="s">
        <v>58</v>
      </c>
      <c r="I41" s="18" t="s">
        <v>220</v>
      </c>
      <c r="J41" s="17" t="s">
        <v>221</v>
      </c>
      <c r="K41" s="18" t="s">
        <v>61</v>
      </c>
      <c r="L41" s="17" t="s">
        <v>222</v>
      </c>
      <c r="M41" s="18" t="s">
        <v>35</v>
      </c>
      <c r="N41" s="20" t="s">
        <v>46</v>
      </c>
      <c r="O41" s="10"/>
      <c r="P41" s="10"/>
      <c r="Q41" s="10"/>
      <c r="R41" s="11"/>
      <c r="S41" s="11"/>
      <c r="T41" s="11"/>
      <c r="U41" s="10"/>
    </row>
    <row r="42" customFormat="false" ht="37.5" hidden="false" customHeight="true" outlineLevel="0" collapsed="false">
      <c r="A42" s="16" t="n">
        <v>35</v>
      </c>
      <c r="B42" s="16" t="s">
        <v>223</v>
      </c>
      <c r="C42" s="17" t="s">
        <v>224</v>
      </c>
      <c r="D42" s="18" t="s">
        <v>203</v>
      </c>
      <c r="E42" s="16"/>
      <c r="F42" s="16" t="s">
        <v>56</v>
      </c>
      <c r="G42" s="18" t="s">
        <v>65</v>
      </c>
      <c r="H42" s="16" t="s">
        <v>58</v>
      </c>
      <c r="I42" s="18" t="s">
        <v>225</v>
      </c>
      <c r="J42" s="17" t="s">
        <v>60</v>
      </c>
      <c r="K42" s="18" t="s">
        <v>61</v>
      </c>
      <c r="L42" s="17" t="s">
        <v>226</v>
      </c>
      <c r="M42" s="18" t="s">
        <v>35</v>
      </c>
      <c r="N42" s="20" t="s">
        <v>46</v>
      </c>
      <c r="O42" s="10"/>
      <c r="P42" s="10"/>
      <c r="Q42" s="10"/>
      <c r="R42" s="11"/>
      <c r="S42" s="11"/>
      <c r="T42" s="11"/>
      <c r="U42" s="10"/>
    </row>
    <row r="43" customFormat="false" ht="37.5" hidden="false" customHeight="true" outlineLevel="0" collapsed="false">
      <c r="A43" s="16" t="n">
        <v>36</v>
      </c>
      <c r="B43" s="16" t="s">
        <v>227</v>
      </c>
      <c r="C43" s="17" t="s">
        <v>228</v>
      </c>
      <c r="D43" s="18" t="s">
        <v>203</v>
      </c>
      <c r="E43" s="16"/>
      <c r="F43" s="16" t="s">
        <v>56</v>
      </c>
      <c r="G43" s="18" t="s">
        <v>65</v>
      </c>
      <c r="H43" s="16" t="s">
        <v>58</v>
      </c>
      <c r="I43" s="18" t="s">
        <v>229</v>
      </c>
      <c r="J43" s="17" t="s">
        <v>60</v>
      </c>
      <c r="K43" s="18" t="s">
        <v>61</v>
      </c>
      <c r="L43" s="17" t="s">
        <v>230</v>
      </c>
      <c r="M43" s="18" t="s">
        <v>35</v>
      </c>
      <c r="N43" s="20" t="s">
        <v>46</v>
      </c>
      <c r="O43" s="10"/>
      <c r="P43" s="10"/>
      <c r="Q43" s="10"/>
      <c r="R43" s="11"/>
      <c r="S43" s="11"/>
      <c r="T43" s="11"/>
      <c r="U43" s="10"/>
    </row>
    <row r="44" customFormat="false" ht="37.5" hidden="false" customHeight="true" outlineLevel="0" collapsed="false">
      <c r="A44" s="16" t="n">
        <v>37</v>
      </c>
      <c r="B44" s="16" t="s">
        <v>231</v>
      </c>
      <c r="C44" s="17" t="s">
        <v>232</v>
      </c>
      <c r="D44" s="18" t="s">
        <v>203</v>
      </c>
      <c r="E44" s="16"/>
      <c r="F44" s="16" t="s">
        <v>56</v>
      </c>
      <c r="G44" s="18" t="s">
        <v>65</v>
      </c>
      <c r="H44" s="16" t="s">
        <v>58</v>
      </c>
      <c r="I44" s="18" t="s">
        <v>233</v>
      </c>
      <c r="J44" s="17" t="s">
        <v>60</v>
      </c>
      <c r="K44" s="18" t="s">
        <v>61</v>
      </c>
      <c r="L44" s="17" t="s">
        <v>234</v>
      </c>
      <c r="M44" s="18" t="s">
        <v>35</v>
      </c>
      <c r="N44" s="20" t="s">
        <v>46</v>
      </c>
      <c r="O44" s="10"/>
      <c r="P44" s="10"/>
      <c r="Q44" s="10"/>
      <c r="R44" s="11"/>
      <c r="S44" s="11"/>
      <c r="T44" s="11"/>
      <c r="U44" s="10"/>
    </row>
    <row r="45" customFormat="false" ht="37.5" hidden="false" customHeight="true" outlineLevel="0" collapsed="false">
      <c r="A45" s="16" t="n">
        <v>38</v>
      </c>
      <c r="B45" s="16" t="s">
        <v>235</v>
      </c>
      <c r="C45" s="17" t="s">
        <v>236</v>
      </c>
      <c r="D45" s="18" t="s">
        <v>203</v>
      </c>
      <c r="E45" s="16"/>
      <c r="F45" s="16" t="s">
        <v>56</v>
      </c>
      <c r="G45" s="18" t="s">
        <v>65</v>
      </c>
      <c r="H45" s="16" t="s">
        <v>58</v>
      </c>
      <c r="I45" s="18" t="s">
        <v>237</v>
      </c>
      <c r="J45" s="17" t="s">
        <v>60</v>
      </c>
      <c r="K45" s="18" t="s">
        <v>61</v>
      </c>
      <c r="L45" s="17" t="s">
        <v>238</v>
      </c>
      <c r="M45" s="18" t="s">
        <v>35</v>
      </c>
      <c r="N45" s="20" t="s">
        <v>46</v>
      </c>
      <c r="O45" s="10"/>
      <c r="P45" s="10"/>
      <c r="Q45" s="10"/>
      <c r="R45" s="11"/>
      <c r="S45" s="11"/>
      <c r="T45" s="11"/>
      <c r="U45" s="10"/>
    </row>
    <row r="46" customFormat="false" ht="37.5" hidden="false" customHeight="true" outlineLevel="0" collapsed="false">
      <c r="A46" s="16" t="n">
        <v>39</v>
      </c>
      <c r="B46" s="16" t="s">
        <v>239</v>
      </c>
      <c r="C46" s="17" t="s">
        <v>240</v>
      </c>
      <c r="D46" s="18" t="s">
        <v>203</v>
      </c>
      <c r="E46" s="16"/>
      <c r="F46" s="16" t="s">
        <v>56</v>
      </c>
      <c r="G46" s="18" t="s">
        <v>65</v>
      </c>
      <c r="H46" s="16" t="s">
        <v>58</v>
      </c>
      <c r="I46" s="18" t="s">
        <v>241</v>
      </c>
      <c r="J46" s="17" t="s">
        <v>60</v>
      </c>
      <c r="K46" s="18" t="s">
        <v>61</v>
      </c>
      <c r="L46" s="17" t="s">
        <v>242</v>
      </c>
      <c r="M46" s="18" t="s">
        <v>35</v>
      </c>
      <c r="N46" s="20" t="s">
        <v>46</v>
      </c>
      <c r="O46" s="10"/>
      <c r="P46" s="10"/>
      <c r="Q46" s="10"/>
      <c r="R46" s="11"/>
      <c r="S46" s="11"/>
      <c r="T46" s="11"/>
      <c r="U46" s="10"/>
    </row>
    <row r="47" customFormat="false" ht="25.5" hidden="false" customHeight="true" outlineLevel="0" collapsed="false">
      <c r="A47" s="4" t="s">
        <v>243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customFormat="false" ht="37.5" hidden="false" customHeight="true" outlineLevel="0" collapsed="false">
      <c r="A48" s="16" t="n">
        <v>40</v>
      </c>
      <c r="B48" s="16" t="s">
        <v>244</v>
      </c>
      <c r="C48" s="17" t="s">
        <v>245</v>
      </c>
      <c r="D48" s="18" t="s">
        <v>246</v>
      </c>
      <c r="E48" s="19" t="s">
        <v>27</v>
      </c>
      <c r="F48" s="16" t="s">
        <v>56</v>
      </c>
      <c r="G48" s="18" t="s">
        <v>247</v>
      </c>
      <c r="H48" s="16" t="s">
        <v>58</v>
      </c>
      <c r="I48" s="18" t="s">
        <v>248</v>
      </c>
      <c r="J48" s="17" t="s">
        <v>60</v>
      </c>
      <c r="K48" s="18" t="s">
        <v>61</v>
      </c>
      <c r="L48" s="17" t="s">
        <v>249</v>
      </c>
      <c r="M48" s="18" t="s">
        <v>35</v>
      </c>
      <c r="N48" s="20" t="s">
        <v>46</v>
      </c>
      <c r="O48" s="10"/>
      <c r="P48" s="10"/>
      <c r="Q48" s="10"/>
      <c r="R48" s="11"/>
      <c r="S48" s="11"/>
      <c r="T48" s="11"/>
      <c r="U48" s="10"/>
    </row>
    <row r="49" customFormat="false" ht="37.5" hidden="false" customHeight="true" outlineLevel="0" collapsed="false">
      <c r="A49" s="16" t="n">
        <v>41</v>
      </c>
      <c r="B49" s="16" t="s">
        <v>250</v>
      </c>
      <c r="C49" s="17" t="s">
        <v>251</v>
      </c>
      <c r="D49" s="18" t="s">
        <v>246</v>
      </c>
      <c r="E49" s="19" t="s">
        <v>27</v>
      </c>
      <c r="F49" s="16" t="s">
        <v>56</v>
      </c>
      <c r="G49" s="18" t="s">
        <v>252</v>
      </c>
      <c r="H49" s="16" t="s">
        <v>58</v>
      </c>
      <c r="I49" s="18" t="s">
        <v>253</v>
      </c>
      <c r="J49" s="17" t="s">
        <v>60</v>
      </c>
      <c r="K49" s="18" t="s">
        <v>254</v>
      </c>
      <c r="L49" s="17" t="s">
        <v>255</v>
      </c>
      <c r="M49" s="18" t="s">
        <v>35</v>
      </c>
      <c r="N49" s="20" t="s">
        <v>46</v>
      </c>
      <c r="O49" s="10"/>
      <c r="P49" s="10"/>
      <c r="Q49" s="10"/>
      <c r="R49" s="11"/>
      <c r="S49" s="11"/>
      <c r="T49" s="11"/>
      <c r="U49" s="10"/>
    </row>
    <row r="50" customFormat="false" ht="37.5" hidden="false" customHeight="true" outlineLevel="0" collapsed="false">
      <c r="A50" s="12" t="n">
        <v>42</v>
      </c>
      <c r="B50" s="12" t="s">
        <v>256</v>
      </c>
      <c r="C50" s="21" t="s">
        <v>257</v>
      </c>
      <c r="D50" s="13" t="s">
        <v>246</v>
      </c>
      <c r="E50" s="14" t="s">
        <v>27</v>
      </c>
      <c r="F50" s="12" t="s">
        <v>39</v>
      </c>
      <c r="G50" s="13" t="s">
        <v>258</v>
      </c>
      <c r="H50" s="12" t="s">
        <v>58</v>
      </c>
      <c r="I50" s="13" t="s">
        <v>259</v>
      </c>
      <c r="J50" s="21" t="s">
        <v>260</v>
      </c>
      <c r="K50" s="13" t="s">
        <v>261</v>
      </c>
      <c r="L50" s="13" t="s">
        <v>65</v>
      </c>
      <c r="M50" s="13" t="s">
        <v>35</v>
      </c>
      <c r="N50" s="15" t="s">
        <v>46</v>
      </c>
      <c r="O50" s="10"/>
      <c r="P50" s="10"/>
      <c r="Q50" s="10"/>
      <c r="R50" s="11"/>
      <c r="S50" s="11"/>
      <c r="T50" s="11"/>
      <c r="U50" s="10"/>
    </row>
    <row r="51" customFormat="false" ht="37.5" hidden="false" customHeight="true" outlineLevel="0" collapsed="false">
      <c r="A51" s="12" t="n">
        <v>43</v>
      </c>
      <c r="B51" s="12" t="s">
        <v>262</v>
      </c>
      <c r="C51" s="21" t="s">
        <v>263</v>
      </c>
      <c r="D51" s="13" t="s">
        <v>246</v>
      </c>
      <c r="E51" s="12"/>
      <c r="F51" s="12" t="s">
        <v>39</v>
      </c>
      <c r="G51" s="13" t="s">
        <v>65</v>
      </c>
      <c r="H51" s="12" t="s">
        <v>66</v>
      </c>
      <c r="I51" s="21" t="s">
        <v>264</v>
      </c>
      <c r="J51" s="21" t="s">
        <v>60</v>
      </c>
      <c r="K51" s="13" t="s">
        <v>68</v>
      </c>
      <c r="L51" s="21" t="s">
        <v>265</v>
      </c>
      <c r="M51" s="13" t="s">
        <v>35</v>
      </c>
      <c r="N51" s="15" t="s">
        <v>36</v>
      </c>
      <c r="O51" s="10"/>
      <c r="P51" s="10"/>
      <c r="Q51" s="10"/>
      <c r="R51" s="11"/>
      <c r="S51" s="11"/>
      <c r="T51" s="11"/>
      <c r="U51" s="10"/>
    </row>
    <row r="52" customFormat="false" ht="37.5" hidden="false" customHeight="true" outlineLevel="0" collapsed="false">
      <c r="A52" s="16" t="n">
        <v>44</v>
      </c>
      <c r="B52" s="16" t="s">
        <v>266</v>
      </c>
      <c r="C52" s="17" t="s">
        <v>267</v>
      </c>
      <c r="D52" s="18" t="s">
        <v>246</v>
      </c>
      <c r="E52" s="16"/>
      <c r="F52" s="16" t="s">
        <v>56</v>
      </c>
      <c r="G52" s="18" t="s">
        <v>65</v>
      </c>
      <c r="H52" s="16" t="s">
        <v>58</v>
      </c>
      <c r="I52" s="17" t="s">
        <v>268</v>
      </c>
      <c r="J52" s="17" t="s">
        <v>60</v>
      </c>
      <c r="K52" s="18" t="s">
        <v>61</v>
      </c>
      <c r="L52" s="18" t="s">
        <v>65</v>
      </c>
      <c r="M52" s="18" t="s">
        <v>35</v>
      </c>
      <c r="N52" s="20" t="s">
        <v>36</v>
      </c>
      <c r="O52" s="10"/>
      <c r="P52" s="10"/>
      <c r="Q52" s="10"/>
      <c r="R52" s="11"/>
      <c r="S52" s="11"/>
      <c r="T52" s="11"/>
      <c r="U52" s="10"/>
    </row>
    <row r="53" customFormat="false" ht="37.5" hidden="false" customHeight="true" outlineLevel="0" collapsed="false">
      <c r="A53" s="16" t="n">
        <v>45</v>
      </c>
      <c r="B53" s="16" t="s">
        <v>269</v>
      </c>
      <c r="C53" s="17" t="s">
        <v>270</v>
      </c>
      <c r="D53" s="18" t="s">
        <v>246</v>
      </c>
      <c r="E53" s="16"/>
      <c r="F53" s="16" t="s">
        <v>56</v>
      </c>
      <c r="G53" s="18" t="s">
        <v>65</v>
      </c>
      <c r="H53" s="16" t="s">
        <v>58</v>
      </c>
      <c r="I53" s="18" t="s">
        <v>271</v>
      </c>
      <c r="J53" s="17" t="s">
        <v>60</v>
      </c>
      <c r="K53" s="18" t="s">
        <v>61</v>
      </c>
      <c r="L53" s="17" t="s">
        <v>272</v>
      </c>
      <c r="M53" s="18" t="s">
        <v>35</v>
      </c>
      <c r="N53" s="20" t="s">
        <v>36</v>
      </c>
      <c r="O53" s="10"/>
      <c r="P53" s="10"/>
      <c r="Q53" s="10"/>
      <c r="R53" s="11"/>
      <c r="S53" s="11"/>
      <c r="T53" s="11"/>
      <c r="U53" s="10"/>
    </row>
    <row r="54" customFormat="false" ht="37.5" hidden="false" customHeight="true" outlineLevel="0" collapsed="false">
      <c r="A54" s="16" t="n">
        <v>46</v>
      </c>
      <c r="B54" s="16" t="s">
        <v>273</v>
      </c>
      <c r="C54" s="17" t="s">
        <v>274</v>
      </c>
      <c r="D54" s="18" t="s">
        <v>246</v>
      </c>
      <c r="E54" s="16"/>
      <c r="F54" s="16" t="s">
        <v>56</v>
      </c>
      <c r="G54" s="18" t="s">
        <v>65</v>
      </c>
      <c r="H54" s="16" t="s">
        <v>58</v>
      </c>
      <c r="I54" s="17" t="s">
        <v>275</v>
      </c>
      <c r="J54" s="17" t="s">
        <v>60</v>
      </c>
      <c r="K54" s="18" t="s">
        <v>61</v>
      </c>
      <c r="L54" s="18" t="s">
        <v>65</v>
      </c>
      <c r="M54" s="18" t="s">
        <v>35</v>
      </c>
      <c r="N54" s="20" t="s">
        <v>46</v>
      </c>
      <c r="O54" s="10"/>
      <c r="P54" s="10"/>
      <c r="Q54" s="10"/>
      <c r="R54" s="11"/>
      <c r="S54" s="11"/>
      <c r="T54" s="11"/>
      <c r="U54" s="10"/>
    </row>
    <row r="55" customFormat="false" ht="37.5" hidden="false" customHeight="true" outlineLevel="0" collapsed="false">
      <c r="A55" s="16" t="n">
        <v>47</v>
      </c>
      <c r="B55" s="16" t="s">
        <v>276</v>
      </c>
      <c r="C55" s="17" t="s">
        <v>277</v>
      </c>
      <c r="D55" s="18" t="s">
        <v>246</v>
      </c>
      <c r="E55" s="16"/>
      <c r="F55" s="16" t="s">
        <v>56</v>
      </c>
      <c r="G55" s="18" t="s">
        <v>65</v>
      </c>
      <c r="H55" s="16" t="s">
        <v>58</v>
      </c>
      <c r="I55" s="17" t="s">
        <v>278</v>
      </c>
      <c r="J55" s="17" t="s">
        <v>60</v>
      </c>
      <c r="K55" s="18" t="s">
        <v>61</v>
      </c>
      <c r="L55" s="18" t="s">
        <v>65</v>
      </c>
      <c r="M55" s="18" t="s">
        <v>35</v>
      </c>
      <c r="N55" s="20" t="s">
        <v>36</v>
      </c>
      <c r="O55" s="10"/>
      <c r="P55" s="10"/>
      <c r="Q55" s="10"/>
      <c r="R55" s="11"/>
      <c r="S55" s="11"/>
      <c r="T55" s="11"/>
      <c r="U55" s="10"/>
    </row>
    <row r="56" customFormat="false" ht="37.5" hidden="false" customHeight="true" outlineLevel="0" collapsed="false">
      <c r="A56" s="16" t="n">
        <v>48</v>
      </c>
      <c r="B56" s="16" t="s">
        <v>279</v>
      </c>
      <c r="C56" s="18" t="s">
        <v>280</v>
      </c>
      <c r="D56" s="18" t="s">
        <v>246</v>
      </c>
      <c r="E56" s="16"/>
      <c r="F56" s="16" t="s">
        <v>56</v>
      </c>
      <c r="G56" s="18" t="s">
        <v>65</v>
      </c>
      <c r="H56" s="16" t="s">
        <v>66</v>
      </c>
      <c r="I56" s="18" t="s">
        <v>281</v>
      </c>
      <c r="J56" s="17" t="s">
        <v>60</v>
      </c>
      <c r="K56" s="18" t="s">
        <v>68</v>
      </c>
      <c r="L56" s="18" t="s">
        <v>65</v>
      </c>
      <c r="M56" s="18" t="s">
        <v>35</v>
      </c>
      <c r="N56" s="20" t="s">
        <v>46</v>
      </c>
      <c r="O56" s="10"/>
      <c r="P56" s="10"/>
      <c r="Q56" s="10"/>
      <c r="R56" s="11"/>
      <c r="S56" s="11"/>
      <c r="T56" s="11"/>
      <c r="U56" s="10"/>
    </row>
    <row r="57" customFormat="false" ht="37.5" hidden="false" customHeight="true" outlineLevel="0" collapsed="false">
      <c r="A57" s="16" t="n">
        <v>49</v>
      </c>
      <c r="B57" s="16" t="s">
        <v>282</v>
      </c>
      <c r="C57" s="17" t="s">
        <v>283</v>
      </c>
      <c r="D57" s="18" t="s">
        <v>246</v>
      </c>
      <c r="E57" s="16"/>
      <c r="F57" s="16" t="s">
        <v>56</v>
      </c>
      <c r="G57" s="18" t="s">
        <v>65</v>
      </c>
      <c r="H57" s="16" t="s">
        <v>58</v>
      </c>
      <c r="I57" s="18" t="s">
        <v>284</v>
      </c>
      <c r="J57" s="17" t="s">
        <v>60</v>
      </c>
      <c r="K57" s="18" t="s">
        <v>61</v>
      </c>
      <c r="L57" s="18" t="s">
        <v>285</v>
      </c>
      <c r="M57" s="18" t="s">
        <v>35</v>
      </c>
      <c r="N57" s="20" t="s">
        <v>46</v>
      </c>
      <c r="O57" s="10"/>
      <c r="P57" s="10"/>
      <c r="Q57" s="10"/>
      <c r="R57" s="11"/>
      <c r="S57" s="11"/>
      <c r="T57" s="11"/>
      <c r="U57" s="10"/>
    </row>
    <row r="58" customFormat="false" ht="37.5" hidden="false" customHeight="true" outlineLevel="0" collapsed="false">
      <c r="A58" s="16" t="n">
        <v>50</v>
      </c>
      <c r="B58" s="16" t="s">
        <v>286</v>
      </c>
      <c r="C58" s="17" t="s">
        <v>287</v>
      </c>
      <c r="D58" s="18" t="s">
        <v>246</v>
      </c>
      <c r="E58" s="16"/>
      <c r="F58" s="16" t="s">
        <v>56</v>
      </c>
      <c r="G58" s="18" t="s">
        <v>65</v>
      </c>
      <c r="H58" s="16" t="s">
        <v>58</v>
      </c>
      <c r="I58" s="17" t="s">
        <v>288</v>
      </c>
      <c r="J58" s="17" t="s">
        <v>60</v>
      </c>
      <c r="K58" s="18" t="s">
        <v>61</v>
      </c>
      <c r="L58" s="18" t="s">
        <v>65</v>
      </c>
      <c r="M58" s="18" t="s">
        <v>35</v>
      </c>
      <c r="N58" s="20" t="s">
        <v>46</v>
      </c>
      <c r="O58" s="10"/>
      <c r="P58" s="10"/>
      <c r="Q58" s="10"/>
      <c r="R58" s="11"/>
      <c r="S58" s="11"/>
      <c r="T58" s="11"/>
      <c r="U58" s="10"/>
    </row>
    <row r="59" customFormat="false" ht="37.5" hidden="false" customHeight="true" outlineLevel="0" collapsed="false">
      <c r="A59" s="16" t="n">
        <v>51</v>
      </c>
      <c r="B59" s="16" t="s">
        <v>289</v>
      </c>
      <c r="C59" s="17" t="s">
        <v>290</v>
      </c>
      <c r="D59" s="18" t="s">
        <v>246</v>
      </c>
      <c r="E59" s="16"/>
      <c r="F59" s="16" t="s">
        <v>56</v>
      </c>
      <c r="G59" s="18" t="s">
        <v>65</v>
      </c>
      <c r="H59" s="16" t="s">
        <v>66</v>
      </c>
      <c r="I59" s="18" t="s">
        <v>291</v>
      </c>
      <c r="J59" s="17" t="s">
        <v>60</v>
      </c>
      <c r="K59" s="18" t="s">
        <v>68</v>
      </c>
      <c r="L59" s="17" t="s">
        <v>292</v>
      </c>
      <c r="M59" s="18" t="s">
        <v>35</v>
      </c>
      <c r="N59" s="20" t="s">
        <v>46</v>
      </c>
      <c r="O59" s="10"/>
      <c r="P59" s="10"/>
      <c r="Q59" s="10"/>
      <c r="R59" s="11"/>
      <c r="S59" s="11"/>
      <c r="T59" s="11"/>
      <c r="U59" s="10"/>
    </row>
    <row r="60" customFormat="false" ht="25.5" hidden="false" customHeight="true" outlineLevel="0" collapsed="false">
      <c r="A60" s="4" t="s">
        <v>293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customFormat="false" ht="37.5" hidden="false" customHeight="true" outlineLevel="0" collapsed="false">
      <c r="A61" s="16" t="n">
        <v>52</v>
      </c>
      <c r="B61" s="16" t="s">
        <v>294</v>
      </c>
      <c r="C61" s="17" t="s">
        <v>295</v>
      </c>
      <c r="D61" s="18" t="s">
        <v>296</v>
      </c>
      <c r="E61" s="16"/>
      <c r="F61" s="16" t="s">
        <v>56</v>
      </c>
      <c r="G61" s="18" t="s">
        <v>65</v>
      </c>
      <c r="H61" s="16" t="s">
        <v>58</v>
      </c>
      <c r="I61" s="17" t="s">
        <v>297</v>
      </c>
      <c r="J61" s="17" t="s">
        <v>60</v>
      </c>
      <c r="K61" s="18" t="s">
        <v>61</v>
      </c>
      <c r="L61" s="18" t="s">
        <v>65</v>
      </c>
      <c r="M61" s="18" t="s">
        <v>35</v>
      </c>
      <c r="N61" s="20" t="s">
        <v>46</v>
      </c>
      <c r="O61" s="10"/>
      <c r="P61" s="10"/>
      <c r="Q61" s="10"/>
      <c r="R61" s="11"/>
      <c r="S61" s="11"/>
      <c r="T61" s="11"/>
      <c r="U61" s="10"/>
    </row>
    <row r="62" customFormat="false" ht="37.5" hidden="false" customHeight="true" outlineLevel="0" collapsed="false">
      <c r="A62" s="16" t="n">
        <v>53</v>
      </c>
      <c r="B62" s="16" t="s">
        <v>298</v>
      </c>
      <c r="C62" s="17" t="s">
        <v>299</v>
      </c>
      <c r="D62" s="18" t="s">
        <v>296</v>
      </c>
      <c r="E62" s="16"/>
      <c r="F62" s="16" t="s">
        <v>56</v>
      </c>
      <c r="G62" s="18" t="s">
        <v>65</v>
      </c>
      <c r="H62" s="16" t="s">
        <v>58</v>
      </c>
      <c r="I62" s="17" t="s">
        <v>300</v>
      </c>
      <c r="J62" s="17" t="s">
        <v>60</v>
      </c>
      <c r="K62" s="18" t="s">
        <v>61</v>
      </c>
      <c r="L62" s="18" t="s">
        <v>65</v>
      </c>
      <c r="M62" s="18" t="s">
        <v>35</v>
      </c>
      <c r="N62" s="20" t="s">
        <v>46</v>
      </c>
      <c r="O62" s="10"/>
      <c r="P62" s="10"/>
      <c r="Q62" s="10"/>
      <c r="R62" s="11"/>
      <c r="S62" s="11"/>
      <c r="T62" s="11"/>
      <c r="U62" s="10"/>
    </row>
    <row r="63" customFormat="false" ht="37.5" hidden="false" customHeight="true" outlineLevel="0" collapsed="false">
      <c r="A63" s="16" t="n">
        <v>54</v>
      </c>
      <c r="B63" s="16" t="s">
        <v>301</v>
      </c>
      <c r="C63" s="17" t="s">
        <v>302</v>
      </c>
      <c r="D63" s="18" t="s">
        <v>296</v>
      </c>
      <c r="E63" s="16"/>
      <c r="F63" s="16" t="s">
        <v>56</v>
      </c>
      <c r="G63" s="18" t="s">
        <v>65</v>
      </c>
      <c r="H63" s="16" t="s">
        <v>58</v>
      </c>
      <c r="I63" s="17" t="s">
        <v>303</v>
      </c>
      <c r="J63" s="17" t="s">
        <v>60</v>
      </c>
      <c r="K63" s="18" t="s">
        <v>61</v>
      </c>
      <c r="L63" s="17" t="s">
        <v>304</v>
      </c>
      <c r="M63" s="18" t="s">
        <v>35</v>
      </c>
      <c r="N63" s="20" t="s">
        <v>46</v>
      </c>
      <c r="O63" s="10"/>
      <c r="P63" s="10"/>
      <c r="Q63" s="10"/>
      <c r="R63" s="11"/>
      <c r="S63" s="11"/>
      <c r="T63" s="11"/>
      <c r="U63" s="10"/>
    </row>
    <row r="64" customFormat="false" ht="37.5" hidden="false" customHeight="true" outlineLevel="0" collapsed="false">
      <c r="A64" s="12" t="n">
        <v>55</v>
      </c>
      <c r="B64" s="12" t="s">
        <v>305</v>
      </c>
      <c r="C64" s="21" t="s">
        <v>306</v>
      </c>
      <c r="D64" s="13" t="s">
        <v>296</v>
      </c>
      <c r="E64" s="12"/>
      <c r="F64" s="12" t="s">
        <v>39</v>
      </c>
      <c r="G64" s="13" t="s">
        <v>65</v>
      </c>
      <c r="H64" s="12" t="s">
        <v>66</v>
      </c>
      <c r="I64" s="21" t="s">
        <v>307</v>
      </c>
      <c r="J64" s="21" t="s">
        <v>60</v>
      </c>
      <c r="K64" s="13" t="s">
        <v>68</v>
      </c>
      <c r="L64" s="21" t="s">
        <v>308</v>
      </c>
      <c r="M64" s="13" t="s">
        <v>35</v>
      </c>
      <c r="N64" s="15" t="s">
        <v>46</v>
      </c>
      <c r="O64" s="10"/>
      <c r="P64" s="10"/>
      <c r="Q64" s="10"/>
      <c r="R64" s="11"/>
      <c r="S64" s="11"/>
      <c r="T64" s="11"/>
      <c r="U64" s="10"/>
    </row>
    <row r="65" customFormat="false" ht="25.5" hidden="false" customHeight="true" outlineLevel="0" collapsed="false">
      <c r="A65" s="4" t="s">
        <v>309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customFormat="false" ht="37.5" hidden="false" customHeight="true" outlineLevel="0" collapsed="false">
      <c r="A66" s="12" t="n">
        <v>56</v>
      </c>
      <c r="B66" s="12" t="s">
        <v>310</v>
      </c>
      <c r="C66" s="21" t="s">
        <v>311</v>
      </c>
      <c r="D66" s="13" t="s">
        <v>312</v>
      </c>
      <c r="E66" s="14" t="s">
        <v>27</v>
      </c>
      <c r="F66" s="12" t="s">
        <v>39</v>
      </c>
      <c r="G66" s="13" t="s">
        <v>313</v>
      </c>
      <c r="H66" s="12" t="s">
        <v>66</v>
      </c>
      <c r="I66" s="13" t="s">
        <v>314</v>
      </c>
      <c r="J66" s="13" t="s">
        <v>65</v>
      </c>
      <c r="K66" s="13" t="s">
        <v>68</v>
      </c>
      <c r="L66" s="21" t="s">
        <v>315</v>
      </c>
      <c r="M66" s="13" t="s">
        <v>35</v>
      </c>
      <c r="N66" s="15" t="s">
        <v>147</v>
      </c>
      <c r="O66" s="10"/>
      <c r="P66" s="10"/>
      <c r="Q66" s="10"/>
      <c r="R66" s="11"/>
      <c r="S66" s="11"/>
      <c r="T66" s="11"/>
      <c r="U66" s="10"/>
    </row>
    <row r="67" customFormat="false" ht="37.5" hidden="false" customHeight="true" outlineLevel="0" collapsed="false">
      <c r="A67" s="16" t="n">
        <v>57</v>
      </c>
      <c r="B67" s="16" t="s">
        <v>316</v>
      </c>
      <c r="C67" s="17" t="s">
        <v>317</v>
      </c>
      <c r="D67" s="18" t="s">
        <v>312</v>
      </c>
      <c r="E67" s="16"/>
      <c r="F67" s="16" t="s">
        <v>56</v>
      </c>
      <c r="G67" s="18" t="s">
        <v>65</v>
      </c>
      <c r="H67" s="16" t="s">
        <v>58</v>
      </c>
      <c r="I67" s="17" t="s">
        <v>318</v>
      </c>
      <c r="J67" s="17" t="s">
        <v>60</v>
      </c>
      <c r="K67" s="18" t="s">
        <v>61</v>
      </c>
      <c r="L67" s="17" t="s">
        <v>319</v>
      </c>
      <c r="M67" s="18" t="s">
        <v>35</v>
      </c>
      <c r="N67" s="20" t="s">
        <v>36</v>
      </c>
      <c r="O67" s="10"/>
      <c r="P67" s="10"/>
      <c r="Q67" s="10"/>
      <c r="R67" s="11"/>
      <c r="S67" s="11"/>
      <c r="T67" s="11"/>
      <c r="U67" s="10"/>
    </row>
    <row r="68" customFormat="false" ht="37.5" hidden="false" customHeight="true" outlineLevel="0" collapsed="false">
      <c r="A68" s="12" t="n">
        <v>58</v>
      </c>
      <c r="B68" s="12" t="s">
        <v>320</v>
      </c>
      <c r="C68" s="21" t="s">
        <v>321</v>
      </c>
      <c r="D68" s="13" t="s">
        <v>312</v>
      </c>
      <c r="E68" s="12"/>
      <c r="F68" s="12" t="s">
        <v>39</v>
      </c>
      <c r="G68" s="13" t="s">
        <v>65</v>
      </c>
      <c r="H68" s="12" t="s">
        <v>66</v>
      </c>
      <c r="I68" s="21" t="s">
        <v>322</v>
      </c>
      <c r="J68" s="21" t="s">
        <v>60</v>
      </c>
      <c r="K68" s="13" t="s">
        <v>68</v>
      </c>
      <c r="L68" s="13" t="s">
        <v>323</v>
      </c>
      <c r="M68" s="13" t="s">
        <v>35</v>
      </c>
      <c r="N68" s="15" t="s">
        <v>46</v>
      </c>
      <c r="O68" s="10"/>
      <c r="P68" s="10"/>
      <c r="Q68" s="10"/>
      <c r="R68" s="11"/>
      <c r="S68" s="11"/>
      <c r="T68" s="11"/>
      <c r="U68" s="10"/>
    </row>
    <row r="69" customFormat="false" ht="37.5" hidden="false" customHeight="true" outlineLevel="0" collapsed="false">
      <c r="A69" s="16" t="n">
        <v>59</v>
      </c>
      <c r="B69" s="16" t="s">
        <v>324</v>
      </c>
      <c r="C69" s="17" t="s">
        <v>325</v>
      </c>
      <c r="D69" s="18" t="s">
        <v>312</v>
      </c>
      <c r="E69" s="16"/>
      <c r="F69" s="16" t="s">
        <v>56</v>
      </c>
      <c r="G69" s="18" t="s">
        <v>65</v>
      </c>
      <c r="H69" s="16" t="s">
        <v>58</v>
      </c>
      <c r="I69" s="17" t="s">
        <v>326</v>
      </c>
      <c r="J69" s="17" t="s">
        <v>60</v>
      </c>
      <c r="K69" s="18" t="s">
        <v>61</v>
      </c>
      <c r="L69" s="17" t="s">
        <v>327</v>
      </c>
      <c r="M69" s="18" t="s">
        <v>35</v>
      </c>
      <c r="N69" s="20" t="s">
        <v>46</v>
      </c>
      <c r="O69" s="10"/>
      <c r="P69" s="10"/>
      <c r="Q69" s="10"/>
      <c r="R69" s="11"/>
      <c r="S69" s="11"/>
      <c r="T69" s="11"/>
      <c r="U69" s="10"/>
    </row>
    <row r="70" customFormat="false" ht="37.5" hidden="false" customHeight="true" outlineLevel="0" collapsed="false">
      <c r="A70" s="5" t="n">
        <v>60</v>
      </c>
      <c r="B70" s="5" t="s">
        <v>328</v>
      </c>
      <c r="C70" s="6" t="s">
        <v>329</v>
      </c>
      <c r="D70" s="7" t="s">
        <v>312</v>
      </c>
      <c r="E70" s="5"/>
      <c r="F70" s="5" t="s">
        <v>28</v>
      </c>
      <c r="G70" s="7" t="s">
        <v>65</v>
      </c>
      <c r="H70" s="5" t="s">
        <v>143</v>
      </c>
      <c r="I70" s="6" t="s">
        <v>330</v>
      </c>
      <c r="J70" s="6" t="s">
        <v>60</v>
      </c>
      <c r="K70" s="7" t="s">
        <v>331</v>
      </c>
      <c r="L70" s="6" t="s">
        <v>332</v>
      </c>
      <c r="M70" s="7" t="s">
        <v>35</v>
      </c>
      <c r="N70" s="9" t="s">
        <v>46</v>
      </c>
      <c r="O70" s="10"/>
      <c r="P70" s="10"/>
      <c r="Q70" s="10"/>
      <c r="R70" s="11"/>
      <c r="S70" s="11"/>
      <c r="T70" s="11"/>
      <c r="U70" s="10"/>
    </row>
    <row r="71" customFormat="false" ht="37.5" hidden="false" customHeight="true" outlineLevel="0" collapsed="false">
      <c r="A71" s="12" t="n">
        <v>61</v>
      </c>
      <c r="B71" s="12" t="s">
        <v>333</v>
      </c>
      <c r="C71" s="21" t="s">
        <v>334</v>
      </c>
      <c r="D71" s="13" t="s">
        <v>312</v>
      </c>
      <c r="E71" s="12"/>
      <c r="F71" s="12" t="s">
        <v>39</v>
      </c>
      <c r="G71" s="13" t="s">
        <v>65</v>
      </c>
      <c r="H71" s="12" t="s">
        <v>66</v>
      </c>
      <c r="I71" s="21" t="s">
        <v>335</v>
      </c>
      <c r="J71" s="21" t="s">
        <v>60</v>
      </c>
      <c r="K71" s="13" t="s">
        <v>68</v>
      </c>
      <c r="L71" s="21" t="s">
        <v>332</v>
      </c>
      <c r="M71" s="13" t="s">
        <v>35</v>
      </c>
      <c r="N71" s="15" t="s">
        <v>46</v>
      </c>
      <c r="O71" s="10"/>
      <c r="P71" s="10"/>
      <c r="Q71" s="10"/>
      <c r="R71" s="11"/>
      <c r="S71" s="11"/>
      <c r="T71" s="11"/>
      <c r="U71" s="10"/>
    </row>
    <row r="72" customFormat="false" ht="37.5" hidden="false" customHeight="true" outlineLevel="0" collapsed="false">
      <c r="A72" s="12" t="n">
        <v>62</v>
      </c>
      <c r="B72" s="12" t="s">
        <v>336</v>
      </c>
      <c r="C72" s="13" t="s">
        <v>337</v>
      </c>
      <c r="D72" s="13" t="s">
        <v>312</v>
      </c>
      <c r="E72" s="12"/>
      <c r="F72" s="12" t="s">
        <v>39</v>
      </c>
      <c r="G72" s="13" t="s">
        <v>65</v>
      </c>
      <c r="H72" s="12" t="s">
        <v>66</v>
      </c>
      <c r="I72" s="13" t="s">
        <v>338</v>
      </c>
      <c r="J72" s="13" t="s">
        <v>65</v>
      </c>
      <c r="K72" s="13" t="s">
        <v>68</v>
      </c>
      <c r="L72" s="21" t="s">
        <v>339</v>
      </c>
      <c r="M72" s="13" t="s">
        <v>35</v>
      </c>
      <c r="N72" s="15" t="s">
        <v>159</v>
      </c>
      <c r="O72" s="10"/>
      <c r="P72" s="10"/>
      <c r="Q72" s="10"/>
      <c r="R72" s="11"/>
      <c r="S72" s="11"/>
      <c r="T72" s="11"/>
      <c r="U72" s="10"/>
    </row>
    <row r="73" customFormat="false" ht="25.5" hidden="false" customHeight="true" outlineLevel="0" collapsed="false">
      <c r="A73" s="4" t="s">
        <v>340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customFormat="false" ht="37.5" hidden="false" customHeight="true" outlineLevel="0" collapsed="false">
      <c r="A74" s="16" t="n">
        <v>63</v>
      </c>
      <c r="B74" s="16" t="s">
        <v>341</v>
      </c>
      <c r="C74" s="17" t="s">
        <v>342</v>
      </c>
      <c r="D74" s="18" t="s">
        <v>343</v>
      </c>
      <c r="E74" s="19" t="s">
        <v>27</v>
      </c>
      <c r="F74" s="16" t="s">
        <v>56</v>
      </c>
      <c r="G74" s="18" t="s">
        <v>344</v>
      </c>
      <c r="H74" s="16" t="s">
        <v>58</v>
      </c>
      <c r="I74" s="18" t="s">
        <v>345</v>
      </c>
      <c r="J74" s="17" t="s">
        <v>346</v>
      </c>
      <c r="K74" s="18" t="s">
        <v>347</v>
      </c>
      <c r="L74" s="17" t="s">
        <v>348</v>
      </c>
      <c r="M74" s="18" t="s">
        <v>35</v>
      </c>
      <c r="N74" s="20" t="s">
        <v>46</v>
      </c>
      <c r="O74" s="10"/>
      <c r="P74" s="10"/>
      <c r="Q74" s="10"/>
      <c r="R74" s="11"/>
      <c r="S74" s="11"/>
      <c r="T74" s="11"/>
      <c r="U74" s="10"/>
    </row>
    <row r="75" customFormat="false" ht="37.5" hidden="false" customHeight="true" outlineLevel="0" collapsed="false">
      <c r="A75" s="5" t="n">
        <v>64</v>
      </c>
      <c r="B75" s="5" t="s">
        <v>349</v>
      </c>
      <c r="C75" s="6" t="s">
        <v>350</v>
      </c>
      <c r="D75" s="7" t="s">
        <v>343</v>
      </c>
      <c r="E75" s="8" t="s">
        <v>27</v>
      </c>
      <c r="F75" s="5" t="s">
        <v>28</v>
      </c>
      <c r="G75" s="7" t="s">
        <v>351</v>
      </c>
      <c r="H75" s="5" t="s">
        <v>66</v>
      </c>
      <c r="I75" s="7" t="s">
        <v>352</v>
      </c>
      <c r="J75" s="6" t="s">
        <v>346</v>
      </c>
      <c r="K75" s="6" t="s">
        <v>353</v>
      </c>
      <c r="L75" s="7" t="s">
        <v>65</v>
      </c>
      <c r="M75" s="7" t="s">
        <v>35</v>
      </c>
      <c r="N75" s="9" t="s">
        <v>46</v>
      </c>
      <c r="O75" s="10"/>
      <c r="P75" s="10"/>
      <c r="Q75" s="10"/>
      <c r="R75" s="11"/>
      <c r="S75" s="11"/>
      <c r="T75" s="11"/>
      <c r="U75" s="10"/>
    </row>
    <row r="76" customFormat="false" ht="37.5" hidden="false" customHeight="true" outlineLevel="0" collapsed="false">
      <c r="A76" s="5" t="n">
        <v>65</v>
      </c>
      <c r="B76" s="5" t="s">
        <v>354</v>
      </c>
      <c r="C76" s="6" t="s">
        <v>355</v>
      </c>
      <c r="D76" s="7" t="s">
        <v>343</v>
      </c>
      <c r="E76" s="8" t="s">
        <v>27</v>
      </c>
      <c r="F76" s="5" t="s">
        <v>28</v>
      </c>
      <c r="G76" s="7" t="s">
        <v>356</v>
      </c>
      <c r="H76" s="5" t="s">
        <v>58</v>
      </c>
      <c r="I76" s="7" t="s">
        <v>357</v>
      </c>
      <c r="J76" s="6" t="s">
        <v>358</v>
      </c>
      <c r="K76" s="6" t="s">
        <v>359</v>
      </c>
      <c r="L76" s="7" t="s">
        <v>65</v>
      </c>
      <c r="M76" s="7" t="s">
        <v>35</v>
      </c>
      <c r="N76" s="9" t="s">
        <v>46</v>
      </c>
      <c r="O76" s="10"/>
      <c r="P76" s="10"/>
      <c r="Q76" s="10"/>
      <c r="R76" s="11"/>
      <c r="S76" s="11"/>
      <c r="T76" s="11"/>
      <c r="U76" s="10"/>
    </row>
    <row r="77" customFormat="false" ht="37.5" hidden="false" customHeight="true" outlineLevel="0" collapsed="false">
      <c r="A77" s="16" t="n">
        <v>66</v>
      </c>
      <c r="B77" s="16" t="s">
        <v>360</v>
      </c>
      <c r="C77" s="17" t="s">
        <v>361</v>
      </c>
      <c r="D77" s="18" t="s">
        <v>343</v>
      </c>
      <c r="E77" s="19" t="s">
        <v>27</v>
      </c>
      <c r="F77" s="16" t="s">
        <v>56</v>
      </c>
      <c r="G77" s="18" t="s">
        <v>362</v>
      </c>
      <c r="H77" s="16" t="s">
        <v>58</v>
      </c>
      <c r="I77" s="18" t="s">
        <v>363</v>
      </c>
      <c r="J77" s="17" t="s">
        <v>346</v>
      </c>
      <c r="K77" s="17" t="s">
        <v>364</v>
      </c>
      <c r="L77" s="17" t="s">
        <v>365</v>
      </c>
      <c r="M77" s="18" t="s">
        <v>366</v>
      </c>
      <c r="N77" s="20" t="s">
        <v>46</v>
      </c>
      <c r="O77" s="10"/>
      <c r="P77" s="10"/>
      <c r="Q77" s="10"/>
      <c r="R77" s="11"/>
      <c r="S77" s="11"/>
      <c r="T77" s="11"/>
      <c r="U77" s="10"/>
    </row>
    <row r="78" customFormat="false" ht="37.5" hidden="false" customHeight="true" outlineLevel="0" collapsed="false">
      <c r="A78" s="16" t="n">
        <v>67</v>
      </c>
      <c r="B78" s="16" t="s">
        <v>367</v>
      </c>
      <c r="C78" s="17" t="s">
        <v>368</v>
      </c>
      <c r="D78" s="18" t="s">
        <v>343</v>
      </c>
      <c r="E78" s="19" t="s">
        <v>27</v>
      </c>
      <c r="F78" s="16" t="s">
        <v>56</v>
      </c>
      <c r="G78" s="18" t="s">
        <v>369</v>
      </c>
      <c r="H78" s="16" t="s">
        <v>58</v>
      </c>
      <c r="I78" s="17" t="s">
        <v>370</v>
      </c>
      <c r="J78" s="17" t="s">
        <v>371</v>
      </c>
      <c r="K78" s="18" t="s">
        <v>61</v>
      </c>
      <c r="L78" s="17" t="s">
        <v>372</v>
      </c>
      <c r="M78" s="18" t="s">
        <v>366</v>
      </c>
      <c r="N78" s="20" t="s">
        <v>46</v>
      </c>
      <c r="O78" s="10"/>
      <c r="P78" s="10"/>
      <c r="Q78" s="10"/>
      <c r="R78" s="11"/>
      <c r="S78" s="11"/>
      <c r="T78" s="11"/>
      <c r="U78" s="10"/>
    </row>
    <row r="79" customFormat="false" ht="25.5" hidden="false" customHeight="true" outlineLevel="0" collapsed="false">
      <c r="A79" s="4" t="s">
        <v>373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customFormat="false" ht="37.5" hidden="false" customHeight="true" outlineLevel="0" collapsed="false">
      <c r="A80" s="22" t="n">
        <v>68</v>
      </c>
      <c r="B80" s="22" t="s">
        <v>374</v>
      </c>
      <c r="C80" s="23" t="s">
        <v>375</v>
      </c>
      <c r="D80" s="24" t="s">
        <v>376</v>
      </c>
      <c r="E80" s="22"/>
      <c r="F80" s="22" t="s">
        <v>39</v>
      </c>
      <c r="G80" s="24" t="s">
        <v>65</v>
      </c>
      <c r="H80" s="22" t="s">
        <v>66</v>
      </c>
      <c r="I80" s="24" t="s">
        <v>377</v>
      </c>
      <c r="J80" s="23" t="s">
        <v>378</v>
      </c>
      <c r="K80" s="24" t="s">
        <v>379</v>
      </c>
      <c r="L80" s="23" t="s">
        <v>380</v>
      </c>
      <c r="M80" s="24" t="s">
        <v>381</v>
      </c>
      <c r="N80" s="22" t="s">
        <v>382</v>
      </c>
      <c r="O80" s="10"/>
      <c r="P80" s="10"/>
      <c r="Q80" s="10"/>
      <c r="R80" s="11"/>
      <c r="S80" s="11"/>
      <c r="T80" s="11"/>
      <c r="U80" s="10"/>
    </row>
    <row r="81" customFormat="false" ht="25.5" hidden="false" customHeight="true" outlineLevel="0" collapsed="false">
      <c r="A81" s="4" t="s">
        <v>383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customFormat="false" ht="37.5" hidden="false" customHeight="true" outlineLevel="0" collapsed="false">
      <c r="A82" s="22" t="n">
        <v>69</v>
      </c>
      <c r="B82" s="22" t="s">
        <v>384</v>
      </c>
      <c r="C82" s="23" t="s">
        <v>385</v>
      </c>
      <c r="D82" s="24" t="s">
        <v>386</v>
      </c>
      <c r="E82" s="25" t="s">
        <v>27</v>
      </c>
      <c r="F82" s="22" t="s">
        <v>56</v>
      </c>
      <c r="G82" s="24" t="s">
        <v>86</v>
      </c>
      <c r="H82" s="22" t="s">
        <v>65</v>
      </c>
      <c r="I82" s="24" t="s">
        <v>387</v>
      </c>
      <c r="J82" s="23" t="s">
        <v>60</v>
      </c>
      <c r="K82" s="23" t="s">
        <v>388</v>
      </c>
      <c r="L82" s="23" t="s">
        <v>292</v>
      </c>
      <c r="M82" s="24" t="s">
        <v>366</v>
      </c>
      <c r="N82" s="22" t="s">
        <v>382</v>
      </c>
      <c r="O82" s="10"/>
      <c r="P82" s="10"/>
      <c r="Q82" s="10"/>
      <c r="R82" s="11"/>
      <c r="S82" s="11"/>
      <c r="T82" s="11"/>
      <c r="U82" s="10"/>
    </row>
    <row r="83" customFormat="false" ht="37.5" hidden="false" customHeight="true" outlineLevel="0" collapsed="false">
      <c r="A83" s="22" t="n">
        <v>70</v>
      </c>
      <c r="B83" s="22" t="s">
        <v>389</v>
      </c>
      <c r="C83" s="23" t="s">
        <v>390</v>
      </c>
      <c r="D83" s="24" t="s">
        <v>386</v>
      </c>
      <c r="E83" s="25" t="s">
        <v>27</v>
      </c>
      <c r="F83" s="22" t="s">
        <v>56</v>
      </c>
      <c r="G83" s="24" t="s">
        <v>391</v>
      </c>
      <c r="H83" s="22" t="s">
        <v>65</v>
      </c>
      <c r="I83" s="24" t="s">
        <v>392</v>
      </c>
      <c r="J83" s="23" t="s">
        <v>60</v>
      </c>
      <c r="K83" s="24" t="s">
        <v>393</v>
      </c>
      <c r="L83" s="23" t="s">
        <v>394</v>
      </c>
      <c r="M83" s="24" t="s">
        <v>395</v>
      </c>
      <c r="N83" s="22" t="s">
        <v>382</v>
      </c>
      <c r="O83" s="10"/>
      <c r="P83" s="10"/>
      <c r="Q83" s="10"/>
      <c r="R83" s="11"/>
      <c r="S83" s="11"/>
      <c r="T83" s="11"/>
      <c r="U83" s="10"/>
    </row>
    <row r="84" customFormat="false" ht="25.5" hidden="false" customHeight="true" outlineLevel="0" collapsed="false">
      <c r="A84" s="4" t="s">
        <v>396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customFormat="false" ht="37.5" hidden="false" customHeight="true" outlineLevel="0" collapsed="false">
      <c r="A85" s="22" t="n">
        <v>71</v>
      </c>
      <c r="B85" s="22" t="s">
        <v>397</v>
      </c>
      <c r="C85" s="23" t="s">
        <v>398</v>
      </c>
      <c r="D85" s="24" t="s">
        <v>399</v>
      </c>
      <c r="E85" s="25" t="s">
        <v>27</v>
      </c>
      <c r="F85" s="22" t="s">
        <v>28</v>
      </c>
      <c r="G85" s="24" t="s">
        <v>400</v>
      </c>
      <c r="H85" s="22" t="s">
        <v>65</v>
      </c>
      <c r="I85" s="23" t="s">
        <v>401</v>
      </c>
      <c r="J85" s="24" t="s">
        <v>65</v>
      </c>
      <c r="K85" s="23" t="s">
        <v>364</v>
      </c>
      <c r="L85" s="24" t="s">
        <v>65</v>
      </c>
      <c r="M85" s="24" t="s">
        <v>381</v>
      </c>
      <c r="N85" s="22" t="s">
        <v>382</v>
      </c>
      <c r="O85" s="10"/>
      <c r="P85" s="10"/>
      <c r="Q85" s="10"/>
      <c r="R85" s="11"/>
      <c r="S85" s="11"/>
      <c r="T85" s="11"/>
      <c r="U85" s="10"/>
    </row>
    <row r="86" customFormat="false" ht="37.5" hidden="false" customHeight="true" outlineLevel="0" collapsed="false">
      <c r="A86" s="22" t="n">
        <v>72</v>
      </c>
      <c r="B86" s="22" t="s">
        <v>402</v>
      </c>
      <c r="C86" s="23" t="s">
        <v>403</v>
      </c>
      <c r="D86" s="24" t="s">
        <v>399</v>
      </c>
      <c r="E86" s="25" t="s">
        <v>27</v>
      </c>
      <c r="F86" s="22" t="s">
        <v>39</v>
      </c>
      <c r="G86" s="24" t="s">
        <v>404</v>
      </c>
      <c r="H86" s="22" t="s">
        <v>65</v>
      </c>
      <c r="I86" s="23" t="s">
        <v>405</v>
      </c>
      <c r="J86" s="23" t="s">
        <v>60</v>
      </c>
      <c r="K86" s="23" t="s">
        <v>364</v>
      </c>
      <c r="L86" s="23" t="s">
        <v>242</v>
      </c>
      <c r="M86" s="24" t="s">
        <v>381</v>
      </c>
      <c r="N86" s="22" t="s">
        <v>382</v>
      </c>
      <c r="O86" s="10"/>
      <c r="P86" s="10"/>
      <c r="Q86" s="10"/>
      <c r="R86" s="11"/>
      <c r="S86" s="11"/>
      <c r="T86" s="11"/>
      <c r="U86" s="10"/>
    </row>
    <row r="87" customFormat="false" ht="37.5" hidden="false" customHeight="true" outlineLevel="0" collapsed="false">
      <c r="A87" s="22" t="n">
        <v>73</v>
      </c>
      <c r="B87" s="22" t="s">
        <v>406</v>
      </c>
      <c r="C87" s="23" t="s">
        <v>407</v>
      </c>
      <c r="D87" s="24" t="s">
        <v>399</v>
      </c>
      <c r="E87" s="25" t="s">
        <v>27</v>
      </c>
      <c r="F87" s="22" t="s">
        <v>39</v>
      </c>
      <c r="G87" s="24" t="s">
        <v>408</v>
      </c>
      <c r="H87" s="22" t="s">
        <v>65</v>
      </c>
      <c r="I87" s="24" t="s">
        <v>409</v>
      </c>
      <c r="J87" s="23" t="s">
        <v>410</v>
      </c>
      <c r="K87" s="23" t="s">
        <v>411</v>
      </c>
      <c r="L87" s="24" t="s">
        <v>65</v>
      </c>
      <c r="M87" s="24" t="s">
        <v>381</v>
      </c>
      <c r="N87" s="22" t="s">
        <v>382</v>
      </c>
      <c r="O87" s="10"/>
      <c r="P87" s="10"/>
      <c r="Q87" s="10"/>
      <c r="R87" s="11"/>
      <c r="S87" s="11"/>
      <c r="T87" s="11"/>
      <c r="U87" s="10"/>
    </row>
    <row r="88" customFormat="false" ht="25.5" hidden="false" customHeight="true" outlineLevel="0" collapsed="false">
      <c r="A88" s="4" t="s">
        <v>412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customFormat="false" ht="37.5" hidden="false" customHeight="true" outlineLevel="0" collapsed="false">
      <c r="A89" s="22" t="n">
        <v>74</v>
      </c>
      <c r="B89" s="22" t="s">
        <v>413</v>
      </c>
      <c r="C89" s="23" t="s">
        <v>414</v>
      </c>
      <c r="D89" s="24" t="s">
        <v>415</v>
      </c>
      <c r="E89" s="25" t="s">
        <v>27</v>
      </c>
      <c r="F89" s="22" t="s">
        <v>39</v>
      </c>
      <c r="G89" s="24" t="s">
        <v>416</v>
      </c>
      <c r="H89" s="22" t="s">
        <v>65</v>
      </c>
      <c r="I89" s="24" t="s">
        <v>417</v>
      </c>
      <c r="J89" s="23" t="s">
        <v>60</v>
      </c>
      <c r="K89" s="23" t="s">
        <v>364</v>
      </c>
      <c r="L89" s="23" t="s">
        <v>418</v>
      </c>
      <c r="M89" s="24" t="s">
        <v>366</v>
      </c>
      <c r="N89" s="22" t="s">
        <v>382</v>
      </c>
      <c r="O89" s="10"/>
      <c r="P89" s="10"/>
      <c r="Q89" s="10"/>
      <c r="R89" s="11"/>
      <c r="S89" s="11"/>
      <c r="T89" s="11"/>
      <c r="U89" s="10"/>
    </row>
    <row r="90" customFormat="false" ht="37.5" hidden="false" customHeight="true" outlineLevel="0" collapsed="false">
      <c r="A90" s="22" t="n">
        <v>75</v>
      </c>
      <c r="B90" s="22" t="s">
        <v>419</v>
      </c>
      <c r="C90" s="23" t="s">
        <v>420</v>
      </c>
      <c r="D90" s="24" t="s">
        <v>415</v>
      </c>
      <c r="E90" s="25" t="s">
        <v>27</v>
      </c>
      <c r="F90" s="22" t="s">
        <v>39</v>
      </c>
      <c r="G90" s="24" t="s">
        <v>421</v>
      </c>
      <c r="H90" s="22" t="s">
        <v>65</v>
      </c>
      <c r="I90" s="23" t="s">
        <v>422</v>
      </c>
      <c r="J90" s="23" t="s">
        <v>60</v>
      </c>
      <c r="K90" s="23" t="s">
        <v>364</v>
      </c>
      <c r="L90" s="23" t="s">
        <v>255</v>
      </c>
      <c r="M90" s="24" t="s">
        <v>366</v>
      </c>
      <c r="N90" s="22" t="s">
        <v>382</v>
      </c>
      <c r="O90" s="10"/>
      <c r="P90" s="10"/>
      <c r="Q90" s="10"/>
      <c r="R90" s="11"/>
      <c r="S90" s="11"/>
      <c r="T90" s="11"/>
      <c r="U90" s="10"/>
    </row>
    <row r="91" customFormat="false" ht="25.5" hidden="false" customHeight="true" outlineLevel="0" collapsed="false">
      <c r="A91" s="4" t="s">
        <v>423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customFormat="false" ht="37.5" hidden="false" customHeight="true" outlineLevel="0" collapsed="false">
      <c r="A92" s="22" t="n">
        <v>76</v>
      </c>
      <c r="B92" s="22" t="s">
        <v>424</v>
      </c>
      <c r="C92" s="23" t="s">
        <v>425</v>
      </c>
      <c r="D92" s="24" t="s">
        <v>426</v>
      </c>
      <c r="E92" s="25" t="s">
        <v>27</v>
      </c>
      <c r="F92" s="22" t="s">
        <v>28</v>
      </c>
      <c r="G92" s="24" t="s">
        <v>427</v>
      </c>
      <c r="H92" s="22" t="s">
        <v>65</v>
      </c>
      <c r="I92" s="24" t="s">
        <v>428</v>
      </c>
      <c r="J92" s="23" t="s">
        <v>346</v>
      </c>
      <c r="K92" s="24" t="s">
        <v>347</v>
      </c>
      <c r="L92" s="24" t="s">
        <v>65</v>
      </c>
      <c r="M92" s="24" t="s">
        <v>35</v>
      </c>
      <c r="N92" s="22" t="s">
        <v>382</v>
      </c>
      <c r="O92" s="10"/>
      <c r="P92" s="10"/>
      <c r="Q92" s="10"/>
      <c r="R92" s="11"/>
      <c r="S92" s="11"/>
      <c r="T92" s="11"/>
      <c r="U92" s="10"/>
    </row>
    <row r="93" customFormat="false" ht="37.5" hidden="false" customHeight="true" outlineLevel="0" collapsed="false">
      <c r="A93" s="22" t="n">
        <v>77</v>
      </c>
      <c r="B93" s="22" t="s">
        <v>429</v>
      </c>
      <c r="C93" s="23" t="s">
        <v>430</v>
      </c>
      <c r="D93" s="24" t="s">
        <v>426</v>
      </c>
      <c r="E93" s="25" t="s">
        <v>27</v>
      </c>
      <c r="F93" s="22" t="s">
        <v>39</v>
      </c>
      <c r="G93" s="24" t="s">
        <v>431</v>
      </c>
      <c r="H93" s="22" t="s">
        <v>65</v>
      </c>
      <c r="I93" s="24" t="s">
        <v>432</v>
      </c>
      <c r="J93" s="23" t="s">
        <v>346</v>
      </c>
      <c r="K93" s="24" t="s">
        <v>393</v>
      </c>
      <c r="L93" s="23" t="s">
        <v>418</v>
      </c>
      <c r="M93" s="24" t="s">
        <v>366</v>
      </c>
      <c r="N93" s="22" t="s">
        <v>382</v>
      </c>
      <c r="O93" s="10"/>
      <c r="P93" s="10"/>
      <c r="Q93" s="10"/>
      <c r="R93" s="11"/>
      <c r="S93" s="11"/>
      <c r="T93" s="11"/>
      <c r="U93" s="10"/>
    </row>
    <row r="95" customFormat="false" ht="15" hidden="false" customHeight="false" outlineLevel="0" collapsed="false">
      <c r="A95" s="26" t="s">
        <v>433</v>
      </c>
      <c r="B95" s="26"/>
      <c r="C95" s="26"/>
      <c r="D95" s="26"/>
      <c r="E95" s="26"/>
      <c r="F95" s="26"/>
    </row>
    <row r="96" customFormat="false" ht="15" hidden="false" customHeight="false" outlineLevel="0" collapsed="false">
      <c r="A96" s="27" t="s">
        <v>434</v>
      </c>
      <c r="B96" s="28" t="n">
        <f aca="false">COUNTA(B4:B93)</f>
        <v>77</v>
      </c>
    </row>
    <row r="97" customFormat="false" ht="15" hidden="false" customHeight="false" outlineLevel="0" collapsed="false">
      <c r="A97" s="27" t="s">
        <v>435</v>
      </c>
      <c r="B97" s="28" t="n">
        <f aca="false">COUNTIF(E4:E93,"★")</f>
        <v>38</v>
      </c>
    </row>
    <row r="98" customFormat="false" ht="15" hidden="false" customHeight="false" outlineLevel="0" collapsed="false">
      <c r="A98" s="29" t="s">
        <v>436</v>
      </c>
      <c r="B98" s="28" t="n">
        <f aca="false">COUNTIF(F4:F93,"P0")</f>
        <v>12</v>
      </c>
    </row>
    <row r="99" customFormat="false" ht="15" hidden="false" customHeight="false" outlineLevel="0" collapsed="false">
      <c r="A99" s="29" t="s">
        <v>437</v>
      </c>
      <c r="B99" s="28" t="n">
        <f aca="false">COUNTIF(F4:F93,"P1")</f>
        <v>23</v>
      </c>
    </row>
    <row r="100" customFormat="false" ht="15" hidden="false" customHeight="false" outlineLevel="0" collapsed="false">
      <c r="A100" s="29" t="s">
        <v>438</v>
      </c>
      <c r="B100" s="28" t="n">
        <f aca="false">COUNTIF(F4:F93,"P2")</f>
        <v>42</v>
      </c>
    </row>
    <row r="101" customFormat="false" ht="15" hidden="false" customHeight="false" outlineLevel="0" collapsed="false">
      <c r="A101" s="27" t="s">
        <v>439</v>
      </c>
      <c r="B101" s="28" t="n">
        <f aca="false">COUNTIF(U4:U93,"✅ 已确认")</f>
        <v>0</v>
      </c>
    </row>
    <row r="102" customFormat="false" ht="15" hidden="false" customHeight="false" outlineLevel="0" collapsed="false">
      <c r="A102" s="27" t="s">
        <v>440</v>
      </c>
      <c r="B102" s="28" t="n">
        <f aca="false">COUNTIF(U4:U93,"⏳ 待讨论")</f>
        <v>0</v>
      </c>
    </row>
    <row r="103" customFormat="false" ht="15" hidden="false" customHeight="false" outlineLevel="0" collapsed="false">
      <c r="A103" s="27" t="s">
        <v>441</v>
      </c>
      <c r="B103" s="28" t="n">
        <f aca="false">COUNTIF(O4:O93,"删除")</f>
        <v>0</v>
      </c>
    </row>
    <row r="104" customFormat="false" ht="15" hidden="false" customHeight="false" outlineLevel="0" collapsed="false">
      <c r="A104" s="27" t="s">
        <v>442</v>
      </c>
      <c r="B104" s="28" t="n">
        <f aca="false">COUNTIF(O4:O93,"调整")</f>
        <v>0</v>
      </c>
    </row>
    <row r="105" customFormat="false" ht="15" hidden="false" customHeight="false" outlineLevel="0" collapsed="false">
      <c r="A105" s="27" t="s">
        <v>443</v>
      </c>
      <c r="B105" s="28" t="n">
        <f aca="false">COUNTIF(P4:P93,"是")</f>
        <v>0</v>
      </c>
    </row>
    <row r="106" customFormat="false" ht="15" hidden="false" customHeight="false" outlineLevel="0" collapsed="false">
      <c r="A106" s="27" t="s">
        <v>444</v>
      </c>
      <c r="B106" s="28" t="n">
        <f aca="false">COUNTIF(Q4:Q93,"是")</f>
        <v>0</v>
      </c>
    </row>
  </sheetData>
  <autoFilter ref="A3:U3"/>
  <mergeCells count="16">
    <mergeCell ref="A1:U1"/>
    <mergeCell ref="A2:U2"/>
    <mergeCell ref="A4:U4"/>
    <mergeCell ref="A10:U10"/>
    <mergeCell ref="A23:U23"/>
    <mergeCell ref="A37:U37"/>
    <mergeCell ref="A47:U47"/>
    <mergeCell ref="A60:U60"/>
    <mergeCell ref="A65:U65"/>
    <mergeCell ref="A73:U73"/>
    <mergeCell ref="A79:U79"/>
    <mergeCell ref="A81:U81"/>
    <mergeCell ref="A84:U84"/>
    <mergeCell ref="A88:U88"/>
    <mergeCell ref="A91:U91"/>
    <mergeCell ref="A95:F95"/>
  </mergeCells>
  <dataValidations count="3">
    <dataValidation allowBlank="true" errorStyle="stop" operator="between" prompt="请选择审核决定" promptTitle="审核决定" showDropDown="false" showErrorMessage="false" showInputMessage="false" sqref="O5:O9 O11:O22 O24:O36 O38:O46 O48:O59 O61:O64 O66:O72 O74:O78 O80 O82:O83 O85:O87 O89:O90 O92:O93" type="list">
      <formula1>"保留,删除,调整"</formula1>
      <formula2>0</formula2>
    </dataValidation>
    <dataValidation allowBlank="true" errorStyle="stop" operator="between" showDropDown="false" showErrorMessage="false" showInputMessage="false" sqref="P5:Q9 P11:Q22 P24:Q36 P38:Q46 P48:Q59 P61:Q64 P66:Q72 P74:Q78 P80:Q80 P82:Q83 P85:Q87 P89:Q90 P92:Q93" type="list">
      <formula1>"是,否"</formula1>
      <formula2>0</formula2>
    </dataValidation>
    <dataValidation allowBlank="true" errorStyle="stop" operator="between" showDropDown="false" showErrorMessage="false" showInputMessage="false" sqref="U5:U9 U11:U22 U24:U36 U38:U46 U48:U59 U61:U64 U66:U72 U74:U78 U80 U82:U83 U85:U87 U89:U90 U92:U93" type="list">
      <formula1>"✅ 已确认,⏳ 待讨论,❌ 拒绝"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30" t="s">
        <v>445</v>
      </c>
      <c r="B1" s="30" t="s">
        <v>446</v>
      </c>
    </row>
    <row r="2" customFormat="false" ht="15" hidden="false" customHeight="false" outlineLevel="0" collapsed="false">
      <c r="A2" s="31" t="s">
        <v>27</v>
      </c>
      <c r="B2" s="32" t="s">
        <v>447</v>
      </c>
    </row>
    <row r="3" customFormat="false" ht="12.65" hidden="false" customHeight="false" outlineLevel="0" collapsed="false">
      <c r="A3" s="31" t="s">
        <v>448</v>
      </c>
      <c r="B3" s="31" t="s">
        <v>449</v>
      </c>
    </row>
    <row r="4" customFormat="false" ht="12.65" hidden="false" customHeight="false" outlineLevel="0" collapsed="false">
      <c r="A4" s="31" t="s">
        <v>450</v>
      </c>
      <c r="B4" s="31" t="s">
        <v>451</v>
      </c>
    </row>
    <row r="5" customFormat="false" ht="12.65" hidden="false" customHeight="false" outlineLevel="0" collapsed="false">
      <c r="A5" s="31" t="s">
        <v>452</v>
      </c>
      <c r="B5" s="31" t="s">
        <v>453</v>
      </c>
    </row>
    <row r="6" customFormat="false" ht="15" hidden="false" customHeight="false" outlineLevel="0" collapsed="false">
      <c r="A6" s="32" t="s">
        <v>454</v>
      </c>
      <c r="B6" s="31" t="s">
        <v>455</v>
      </c>
    </row>
    <row r="7" customFormat="false" ht="15" hidden="false" customHeight="false" outlineLevel="0" collapsed="false">
      <c r="A7" s="32" t="s">
        <v>456</v>
      </c>
      <c r="B7" s="32" t="s">
        <v>457</v>
      </c>
    </row>
    <row r="8" customFormat="false" ht="15" hidden="false" customHeight="false" outlineLevel="0" collapsed="false">
      <c r="A8" s="31"/>
      <c r="B8" s="31"/>
    </row>
    <row r="9" customFormat="false" ht="15" hidden="false" customHeight="false" outlineLevel="0" collapsed="false">
      <c r="A9" s="33" t="s">
        <v>458</v>
      </c>
      <c r="B9" s="33" t="s">
        <v>459</v>
      </c>
    </row>
    <row r="10" customFormat="false" ht="15" hidden="false" customHeight="false" outlineLevel="0" collapsed="false">
      <c r="A10" s="32" t="s">
        <v>460</v>
      </c>
      <c r="B10" s="32" t="s">
        <v>461</v>
      </c>
    </row>
    <row r="11" customFormat="false" ht="15" hidden="false" customHeight="false" outlineLevel="0" collapsed="false">
      <c r="A11" s="32" t="s">
        <v>462</v>
      </c>
      <c r="B11" s="32" t="s">
        <v>463</v>
      </c>
    </row>
    <row r="12" customFormat="false" ht="15" hidden="false" customHeight="false" outlineLevel="0" collapsed="false">
      <c r="A12" s="32" t="s">
        <v>464</v>
      </c>
      <c r="B12" s="32" t="s">
        <v>465</v>
      </c>
    </row>
    <row r="13" customFormat="false" ht="15" hidden="false" customHeight="false" outlineLevel="0" collapsed="false">
      <c r="A13" s="31"/>
      <c r="B13" s="31"/>
    </row>
    <row r="14" customFormat="false" ht="15" hidden="false" customHeight="false" outlineLevel="0" collapsed="false">
      <c r="A14" s="33" t="s">
        <v>22</v>
      </c>
      <c r="B14" s="33" t="s">
        <v>459</v>
      </c>
    </row>
    <row r="15" customFormat="false" ht="15" hidden="false" customHeight="false" outlineLevel="0" collapsed="false">
      <c r="A15" s="32" t="s">
        <v>466</v>
      </c>
      <c r="B15" s="32" t="s">
        <v>467</v>
      </c>
    </row>
    <row r="16" customFormat="false" ht="15" hidden="false" customHeight="false" outlineLevel="0" collapsed="false">
      <c r="A16" s="32" t="s">
        <v>468</v>
      </c>
      <c r="B16" s="32" t="s">
        <v>469</v>
      </c>
    </row>
    <row r="17" customFormat="false" ht="15" hidden="false" customHeight="false" outlineLevel="0" collapsed="false">
      <c r="A17" s="32" t="s">
        <v>470</v>
      </c>
      <c r="B17" s="32" t="s">
        <v>471</v>
      </c>
    </row>
    <row r="18" customFormat="false" ht="15" hidden="false" customHeight="false" outlineLevel="0" collapsed="false">
      <c r="A18" s="31"/>
      <c r="B18" s="31"/>
    </row>
    <row r="19" customFormat="false" ht="15" hidden="false" customHeight="false" outlineLevel="0" collapsed="false">
      <c r="A19" s="33" t="s">
        <v>472</v>
      </c>
      <c r="B19" s="33"/>
    </row>
    <row r="20" customFormat="false" ht="12.65" hidden="false" customHeight="false" outlineLevel="0" collapsed="false">
      <c r="A20" s="31" t="s">
        <v>473</v>
      </c>
      <c r="B20" s="32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2026-04-01T06:44:20Z</dcterms:created>
  <dc:creator>openpyxl</dc:creator>
  <dc:description/>
  <dc:language>en-US</dc:language>
  <cp:lastModifiedBy/>
  <dcterms:modified xsi:type="dcterms:W3CDTF">2026-04-01T06:44:20Z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